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Task Backlog" sheetId="3" state="visible" r:id="rId3"/>
    <sheet xmlns:r="http://schemas.openxmlformats.org/officeDocument/2006/relationships" name="Fix Log" sheetId="4" state="visible" r:id="rId4"/>
    <sheet xmlns:r="http://schemas.openxmlformats.org/officeDocument/2006/relationships" name="Kanban Board" sheetId="5" state="visible" r:id="rId5"/>
    <sheet xmlns:r="http://schemas.openxmlformats.org/officeDocument/2006/relationships" name="Testing Plan" sheetId="6" state="visible" r:id="rId6"/>
    <sheet xmlns:r="http://schemas.openxmlformats.org/officeDocument/2006/relationships" name="RBAC &amp; People Access" sheetId="7" state="visible" r:id="rId7"/>
    <sheet xmlns:r="http://schemas.openxmlformats.org/officeDocument/2006/relationships" name="Go-Live Check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3">
    <font>
      <name val="Calibri"/>
      <family val="2"/>
      <color theme="1"/>
      <sz val="11"/>
      <scheme val="minor"/>
    </font>
    <font>
      <name val="Arial"/>
      <b val="1"/>
      <color rgb="001F2A44"/>
      <sz val="18"/>
    </font>
    <font>
      <name val="Arial"/>
      <i val="1"/>
      <color rgb="00555555"/>
      <sz val="11"/>
    </font>
    <font>
      <name val="Arial"/>
      <color rgb="00888888"/>
      <sz val="9"/>
    </font>
    <font>
      <name val="Arial"/>
      <b val="1"/>
      <color rgb="001F2A44"/>
      <sz val="13"/>
    </font>
    <font>
      <name val="Arial"/>
      <b val="1"/>
      <color rgb="001F2A44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B45F06"/>
      <sz val="10"/>
    </font>
    <font>
      <name val="Arial"/>
      <b val="1"/>
      <color rgb="00666666"/>
      <sz val="10"/>
    </font>
    <font>
      <name val="Arial"/>
      <b val="1"/>
      <color rgb="00444444"/>
      <sz val="10"/>
    </font>
    <font>
      <name val="Arial"/>
      <b val="1"/>
      <color rgb="001155CC"/>
      <sz val="10"/>
    </font>
    <font>
      <name val="Arial"/>
      <b val="1"/>
      <color rgb="0038761D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C00000"/>
      <sz val="9"/>
    </font>
    <font>
      <name val="Arial"/>
      <b val="1"/>
      <color rgb="00444444"/>
      <sz val="9"/>
    </font>
    <font>
      <name val="Arial"/>
      <b val="1"/>
      <color rgb="00B45F06"/>
      <sz val="9"/>
    </font>
    <font>
      <name val="Arial"/>
      <b val="1"/>
      <color rgb="00BF9000"/>
      <sz val="9"/>
    </font>
    <font>
      <name val="Arial"/>
      <b val="1"/>
      <color rgb="00666666"/>
      <sz val="9"/>
    </font>
    <font>
      <name val="Arial"/>
      <b val="1"/>
      <color rgb="0038761D"/>
      <sz val="9"/>
    </font>
    <font>
      <name val="Arial"/>
      <b val="1"/>
      <color rgb="00351C75"/>
      <sz val="9"/>
    </font>
    <font>
      <name val="Arial"/>
      <b val="1"/>
      <color rgb="001155CC"/>
      <sz val="9"/>
    </font>
    <font>
      <name val="Arial"/>
      <i val="1"/>
      <color rgb="00555555"/>
      <sz val="10"/>
    </font>
    <font>
      <name val="Arial"/>
      <b val="1"/>
      <color rgb="00000000"/>
      <sz val="11"/>
    </font>
    <font>
      <name val="Arial"/>
      <b val="1"/>
      <sz val="12"/>
    </font>
    <font>
      <name val="Arial"/>
      <b val="1"/>
      <color rgb="00BF9000"/>
      <sz val="10"/>
    </font>
    <font>
      <name val="Arial"/>
      <b val="1"/>
      <color rgb="00888888"/>
      <sz val="9"/>
    </font>
    <font>
      <name val="Arial"/>
      <b val="1"/>
      <color rgb="00351C75"/>
      <sz val="10"/>
    </font>
    <font>
      <name val="Arial"/>
      <b val="1"/>
      <color rgb="001F2A44"/>
      <sz val="14"/>
    </font>
    <font>
      <name val="Arial"/>
      <i val="1"/>
      <color rgb="00666666"/>
      <sz val="9"/>
    </font>
    <font>
      <name val="Arial"/>
      <b val="1"/>
      <color rgb="00C00000"/>
      <sz val="8"/>
    </font>
    <font>
      <name val="Arial"/>
      <b val="1"/>
      <color rgb="00B45F06"/>
      <sz val="8"/>
    </font>
    <font>
      <name val="Arial"/>
      <color rgb="00666666"/>
      <sz val="8"/>
    </font>
    <font>
      <name val="Arial"/>
      <b val="1"/>
      <color rgb="00000000"/>
      <sz val="9"/>
    </font>
    <font>
      <name val="Arial"/>
      <b val="1"/>
      <color rgb="001F2A44"/>
      <sz val="16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color rgb="00C00000"/>
      <sz val="9"/>
    </font>
    <font>
      <name val="Arial"/>
      <b val="1"/>
      <sz val="9"/>
    </font>
    <font>
      <name val="Arial"/>
      <color rgb="001155CC"/>
      <sz val="9"/>
    </font>
    <font>
      <name val="Arial"/>
      <color rgb="00B45F06"/>
      <sz val="9"/>
    </font>
    <font>
      <name val="Arial"/>
      <color rgb="00BF9000"/>
      <sz val="9"/>
    </font>
    <font>
      <name val="Arial"/>
      <color rgb="0038761D"/>
      <sz val="9"/>
    </font>
    <font>
      <name val="Arial"/>
      <color rgb="00555555"/>
      <sz val="9"/>
    </font>
    <font>
      <name val="Arial"/>
      <b val="1"/>
      <color rgb="00000000"/>
      <sz val="10"/>
    </font>
    <font/>
    <font>
      <b val="1"/>
      <color rgb="00006100"/>
    </font>
    <font>
      <b val="1"/>
      <color rgb="00FFFFFF"/>
    </font>
    <font>
      <i val="1"/>
      <color rgb="00606060"/>
    </font>
    <font>
      <b val="1"/>
    </font>
    <font>
      <b val="1"/>
      <color rgb="009C5700"/>
    </font>
    <font>
      <b val="1"/>
      <color rgb="009C0006"/>
    </font>
  </fonts>
  <fills count="28">
    <fill>
      <patternFill/>
    </fill>
    <fill>
      <patternFill patternType="gray125"/>
    </fill>
    <fill>
      <patternFill patternType="solid">
        <fgColor rgb="00F8CBCB"/>
      </patternFill>
    </fill>
    <fill>
      <patternFill patternType="solid">
        <fgColor rgb="00FCE5CD"/>
      </patternFill>
    </fill>
    <fill>
      <patternFill patternType="solid">
        <fgColor rgb="00E8E8E8"/>
      </patternFill>
    </fill>
    <fill>
      <patternFill patternType="solid">
        <fgColor rgb="00D9E7F5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1F2A44"/>
      </patternFill>
    </fill>
    <fill>
      <patternFill patternType="solid">
        <fgColor rgb="00D9A400"/>
      </patternFill>
    </fill>
    <fill>
      <patternFill patternType="solid">
        <fgColor rgb="00E4D7F5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B45F06"/>
      </patternFill>
    </fill>
    <fill>
      <patternFill patternType="solid">
        <fgColor rgb="00BF9000"/>
      </patternFill>
    </fill>
    <fill>
      <patternFill patternType="solid">
        <fgColor rgb="0038761D"/>
      </patternFill>
    </fill>
    <fill>
      <patternFill patternType="solid">
        <fgColor rgb="00351C75"/>
      </patternFill>
    </fill>
    <fill>
      <patternFill patternType="solid">
        <fgColor rgb="001155CC"/>
      </patternFill>
    </fill>
    <fill>
      <patternFill patternType="solid">
        <fgColor rgb="00990000"/>
      </patternFill>
    </fill>
    <fill>
      <patternFill patternType="solid">
        <fgColor rgb="00666666"/>
      </patternFill>
    </fill>
    <fill>
      <patternFill patternType="solid">
        <fgColor rgb="000B5394"/>
      </patternFill>
    </fill>
    <fill>
      <patternFill patternType="solid">
        <fgColor rgb="00134F5C"/>
      </patternFill>
    </fill>
    <fill>
      <patternFill patternType="solid">
        <fgColor rgb="00C6EFCE"/>
        <bgColor rgb="00C6EFCE"/>
      </patternFill>
    </fill>
    <fill>
      <patternFill patternType="solid">
        <fgColor rgb="001F4E78"/>
        <bgColor rgb="001F4E78"/>
      </patternFill>
    </fill>
    <fill>
      <patternFill patternType="solid">
        <fgColor rgb="00BDD7EE"/>
        <bgColor rgb="00BDD7EE"/>
      </patternFill>
    </fill>
    <fill>
      <patternFill patternType="solid">
        <fgColor rgb="00305496"/>
        <bgColor rgb="00305496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/>
      <top style="thin">
        <color rgb="00B4B4B4"/>
      </top>
      <bottom style="thin">
        <color rgb="00B4B4B4"/>
      </bottom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/>
    </xf>
    <xf numFmtId="0" fontId="6" fillId="0" borderId="0" pivotButton="0" quotePrefix="0" xfId="0"/>
    <xf numFmtId="0" fontId="8" fillId="3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11" fillId="5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12" fillId="7" borderId="1" applyAlignment="1" pivotButton="0" quotePrefix="0" xfId="0">
      <alignment horizontal="center"/>
    </xf>
    <xf numFmtId="0" fontId="23" fillId="0" borderId="0" pivotButton="0" quotePrefix="0" xfId="0"/>
    <xf numFmtId="0" fontId="24" fillId="0" borderId="0" pivotButton="0" quotePrefix="0" xfId="0"/>
    <xf numFmtId="0" fontId="4" fillId="11" borderId="1" applyAlignment="1" pivotButton="0" quotePrefix="0" xfId="0">
      <alignment horizontal="center"/>
    </xf>
    <xf numFmtId="164" fontId="4" fillId="11" borderId="1" applyAlignment="1" pivotButton="0" quotePrefix="0" xfId="0">
      <alignment horizontal="center"/>
    </xf>
    <xf numFmtId="0" fontId="25" fillId="0" borderId="0" pivotButton="0" quotePrefix="0" xfId="0"/>
    <xf numFmtId="0" fontId="13" fillId="8" borderId="1" applyAlignment="1" pivotButton="0" quotePrefix="0" xfId="0">
      <alignment horizontal="center" wrapText="1"/>
    </xf>
    <xf numFmtId="0" fontId="7" fillId="2" borderId="1" pivotButton="0" quotePrefix="0" xfId="0"/>
    <xf numFmtId="0" fontId="14" fillId="0" borderId="1" applyAlignment="1" pivotButton="0" quotePrefix="0" xfId="0">
      <alignment vertical="top" wrapText="1"/>
    </xf>
    <xf numFmtId="0" fontId="1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9" fontId="6" fillId="0" borderId="1" applyAlignment="1" pivotButton="0" quotePrefix="0" xfId="0">
      <alignment horizontal="center"/>
    </xf>
    <xf numFmtId="0" fontId="8" fillId="3" borderId="1" pivotButton="0" quotePrefix="0" xfId="0"/>
    <xf numFmtId="0" fontId="26" fillId="6" borderId="1" pivotButton="0" quotePrefix="0" xfId="0"/>
    <xf numFmtId="0" fontId="27" fillId="0" borderId="1" applyAlignment="1" pivotButton="0" quotePrefix="0" xfId="0">
      <alignment horizontal="center"/>
    </xf>
    <xf numFmtId="0" fontId="12" fillId="7" borderId="1" pivotButton="0" quotePrefix="0" xfId="0"/>
    <xf numFmtId="0" fontId="28" fillId="10" borderId="1" pivotButton="0" quotePrefix="0" xfId="0"/>
    <xf numFmtId="0" fontId="11" fillId="5" borderId="1" pivotButton="0" quotePrefix="0" xfId="0"/>
    <xf numFmtId="0" fontId="13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top"/>
    </xf>
    <xf numFmtId="0" fontId="15" fillId="2" borderId="1" applyAlignment="1" pivotButton="0" quotePrefix="0" xfId="0">
      <alignment vertical="top"/>
    </xf>
    <xf numFmtId="0" fontId="15" fillId="2" borderId="1" applyAlignment="1" pivotButton="0" quotePrefix="0" xfId="0">
      <alignment horizontal="center"/>
    </xf>
    <xf numFmtId="0" fontId="16" fillId="4" borderId="1" applyAlignment="1" pivotButton="0" quotePrefix="0" xfId="0">
      <alignment horizontal="center"/>
    </xf>
    <xf numFmtId="0" fontId="17" fillId="3" borderId="1" applyAlignment="1" pivotButton="0" quotePrefix="0" xfId="0">
      <alignment horizontal="center"/>
    </xf>
    <xf numFmtId="0" fontId="17" fillId="3" borderId="1" applyAlignment="1" pivotButton="0" quotePrefix="0" xfId="0">
      <alignment vertical="top"/>
    </xf>
    <xf numFmtId="0" fontId="18" fillId="6" borderId="1" applyAlignment="1" pivotButton="0" quotePrefix="0" xfId="0">
      <alignment vertical="top"/>
    </xf>
    <xf numFmtId="0" fontId="3" fillId="0" borderId="1" applyAlignment="1" pivotButton="0" quotePrefix="0" xfId="0">
      <alignment horizontal="center"/>
    </xf>
    <xf numFmtId="0" fontId="19" fillId="4" borderId="1" applyAlignment="1" pivotButton="0" quotePrefix="0" xfId="0">
      <alignment horizontal="center"/>
    </xf>
    <xf numFmtId="0" fontId="20" fillId="7" borderId="1" applyAlignment="1" pivotButton="0" quotePrefix="0" xfId="0">
      <alignment vertical="top"/>
    </xf>
    <xf numFmtId="0" fontId="21" fillId="10" borderId="1" applyAlignment="1" pivotButton="0" quotePrefix="0" xfId="0">
      <alignment vertical="top"/>
    </xf>
    <xf numFmtId="0" fontId="22" fillId="5" borderId="1" applyAlignment="1" pivotButton="0" quotePrefix="0" xfId="0">
      <alignment vertical="top"/>
    </xf>
    <xf numFmtId="0" fontId="29" fillId="0" borderId="0" pivotButton="0" quotePrefix="0" xfId="0"/>
    <xf numFmtId="0" fontId="30" fillId="0" borderId="0" pivotButton="0" quotePrefix="0" xfId="0"/>
    <xf numFmtId="0" fontId="13" fillId="1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13" fillId="17" borderId="1" applyAlignment="1" pivotButton="0" quotePrefix="0" xfId="0">
      <alignment horizontal="center" vertical="center" wrapText="1"/>
    </xf>
    <xf numFmtId="0" fontId="31" fillId="2" borderId="1" applyAlignment="1" pivotButton="0" quotePrefix="0" xfId="0">
      <alignment horizontal="left" vertical="top" wrapText="1"/>
    </xf>
    <xf numFmtId="0" fontId="32" fillId="3" borderId="1" applyAlignment="1" pivotButton="0" quotePrefix="0" xfId="0">
      <alignment horizontal="left" vertical="top" wrapText="1"/>
    </xf>
    <xf numFmtId="0" fontId="33" fillId="4" borderId="1" applyAlignment="1" pivotButton="0" quotePrefix="0" xfId="0">
      <alignment horizontal="left" vertical="top" wrapText="1"/>
    </xf>
    <xf numFmtId="0" fontId="34" fillId="0" borderId="0" pivotButton="0" quotePrefix="0" xfId="0"/>
    <xf numFmtId="0" fontId="15" fillId="2" borderId="1" pivotButton="0" quotePrefix="0" xfId="0"/>
    <xf numFmtId="0" fontId="17" fillId="3" borderId="1" pivotButton="0" quotePrefix="0" xfId="0"/>
    <xf numFmtId="0" fontId="19" fillId="4" borderId="1" pivotButton="0" quotePrefix="0" xfId="0"/>
    <xf numFmtId="0" fontId="35" fillId="0" borderId="0" pivotButton="0" quotePrefix="0" xfId="0"/>
    <xf numFmtId="0" fontId="36" fillId="8" borderId="1" applyAlignment="1" pivotButton="0" quotePrefix="0" xfId="0">
      <alignment horizontal="center" vertical="center" wrapText="1"/>
    </xf>
    <xf numFmtId="0" fontId="36" fillId="9" borderId="1" applyAlignment="1" pivotButton="0" quotePrefix="0" xfId="0">
      <alignment horizontal="center" vertical="center" wrapText="1"/>
    </xf>
    <xf numFmtId="0" fontId="37" fillId="17" borderId="1" applyAlignment="1" pivotButton="0" quotePrefix="0" xfId="0">
      <alignment horizontal="center" vertical="center"/>
    </xf>
    <xf numFmtId="0" fontId="37" fillId="12" borderId="1" applyAlignment="1" pivotButton="0" quotePrefix="0" xfId="0">
      <alignment horizontal="center" vertical="center"/>
    </xf>
    <xf numFmtId="0" fontId="37" fillId="18" borderId="1" applyAlignment="1" pivotButton="0" quotePrefix="0" xfId="0">
      <alignment horizontal="center" vertical="center"/>
    </xf>
    <xf numFmtId="0" fontId="37" fillId="13" borderId="1" applyAlignment="1" pivotButton="0" quotePrefix="0" xfId="0">
      <alignment horizontal="center" vertical="center"/>
    </xf>
    <xf numFmtId="0" fontId="37" fillId="14" borderId="1" applyAlignment="1" pivotButton="0" quotePrefix="0" xfId="0">
      <alignment horizontal="center" vertical="center"/>
    </xf>
    <xf numFmtId="0" fontId="37" fillId="15" borderId="1" applyAlignment="1" pivotButton="0" quotePrefix="0" xfId="0">
      <alignment horizontal="center" vertical="center"/>
    </xf>
    <xf numFmtId="0" fontId="37" fillId="19" borderId="1" applyAlignment="1" pivotButton="0" quotePrefix="0" xfId="0">
      <alignment horizontal="center" vertical="center"/>
    </xf>
    <xf numFmtId="0" fontId="37" fillId="16" borderId="1" applyAlignment="1" pivotButton="0" quotePrefix="0" xfId="0">
      <alignment horizontal="center" vertical="center"/>
    </xf>
    <xf numFmtId="0" fontId="37" fillId="20" borderId="1" applyAlignment="1" pivotButton="0" quotePrefix="0" xfId="0">
      <alignment horizontal="center" vertical="center"/>
    </xf>
    <xf numFmtId="0" fontId="37" fillId="21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center"/>
    </xf>
    <xf numFmtId="0" fontId="14" fillId="0" borderId="0" pivotButton="0" quotePrefix="0" xfId="0"/>
    <xf numFmtId="0" fontId="13" fillId="12" borderId="1" applyAlignment="1" pivotButton="0" quotePrefix="0" xfId="0">
      <alignment horizontal="center"/>
    </xf>
    <xf numFmtId="0" fontId="13" fillId="18" borderId="1" applyAlignment="1" pivotButton="0" quotePrefix="0" xfId="0">
      <alignment horizontal="center"/>
    </xf>
    <xf numFmtId="0" fontId="13" fillId="13" borderId="1" applyAlignment="1" pivotButton="0" quotePrefix="0" xfId="0">
      <alignment horizontal="center"/>
    </xf>
    <xf numFmtId="0" fontId="13" fillId="14" borderId="1" applyAlignment="1" pivotButton="0" quotePrefix="0" xfId="0">
      <alignment horizontal="center"/>
    </xf>
    <xf numFmtId="0" fontId="13" fillId="15" borderId="1" applyAlignment="1" pivotButton="0" quotePrefix="0" xfId="0">
      <alignment horizontal="center"/>
    </xf>
    <xf numFmtId="0" fontId="13" fillId="19" borderId="1" applyAlignment="1" pivotButton="0" quotePrefix="0" xfId="0">
      <alignment horizontal="center"/>
    </xf>
    <xf numFmtId="0" fontId="13" fillId="16" borderId="1" applyAlignment="1" pivotButton="0" quotePrefix="0" xfId="0">
      <alignment horizontal="center"/>
    </xf>
    <xf numFmtId="0" fontId="13" fillId="20" borderId="1" applyAlignment="1" pivotButton="0" quotePrefix="0" xfId="0">
      <alignment horizontal="center"/>
    </xf>
    <xf numFmtId="0" fontId="13" fillId="21" borderId="1" applyAlignment="1" pivotButton="0" quotePrefix="0" xfId="0">
      <alignment horizontal="center"/>
    </xf>
    <xf numFmtId="0" fontId="13" fillId="8" borderId="1" applyAlignment="1" pivotButton="0" quotePrefix="0" xfId="0">
      <alignment horizontal="center"/>
    </xf>
    <xf numFmtId="0" fontId="34" fillId="0" borderId="1" pivotButton="0" quotePrefix="0" xfId="0"/>
    <xf numFmtId="0" fontId="38" fillId="0" borderId="1" pivotButton="0" quotePrefix="0" xfId="0"/>
    <xf numFmtId="0" fontId="39" fillId="0" borderId="1" applyAlignment="1" pivotButton="0" quotePrefix="0" xfId="0">
      <alignment horizontal="center"/>
    </xf>
    <xf numFmtId="0" fontId="40" fillId="0" borderId="1" pivotButton="0" quotePrefix="0" xfId="0"/>
    <xf numFmtId="0" fontId="41" fillId="0" borderId="1" pivotButton="0" quotePrefix="0" xfId="0"/>
    <xf numFmtId="0" fontId="42" fillId="0" borderId="1" pivotButton="0" quotePrefix="0" xfId="0"/>
    <xf numFmtId="0" fontId="43" fillId="0" borderId="1" pivotButton="0" quotePrefix="0" xfId="0"/>
    <xf numFmtId="0" fontId="44" fillId="0" borderId="1" pivotButton="0" quotePrefix="0" xfId="0"/>
    <xf numFmtId="0" fontId="4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/>
    </xf>
    <xf numFmtId="0" fontId="14" fillId="0" borderId="0" applyAlignment="1" pivotButton="0" quotePrefix="0" xfId="0">
      <alignment vertical="top" wrapText="1"/>
    </xf>
    <xf numFmtId="0" fontId="22" fillId="5" borderId="1" applyAlignment="1" pivotButton="0" quotePrefix="0" xfId="0">
      <alignment horizontal="center"/>
    </xf>
    <xf numFmtId="0" fontId="17" fillId="6" borderId="1" applyAlignment="1" pivotButton="0" quotePrefix="0" xfId="0">
      <alignment horizontal="center"/>
    </xf>
    <xf numFmtId="0" fontId="21" fillId="10" borderId="1" applyAlignment="1" pivotButton="0" quotePrefix="0" xfId="0">
      <alignment horizontal="center"/>
    </xf>
    <xf numFmtId="0" fontId="20" fillId="7" borderId="1" applyAlignment="1" pivotButton="0" quotePrefix="0" xfId="0">
      <alignment horizontal="center"/>
    </xf>
    <xf numFmtId="0" fontId="14" fillId="0" borderId="1" applyAlignment="1" pivotButton="0" quotePrefix="0" xfId="0">
      <alignment vertical="top"/>
    </xf>
    <xf numFmtId="0" fontId="14" fillId="0" borderId="1" applyAlignment="1" pivotButton="0" quotePrefix="0" xfId="0">
      <alignment vertical="top"/>
    </xf>
    <xf numFmtId="0" fontId="47" fillId="22" borderId="1" applyAlignment="1" pivotButton="0" quotePrefix="0" xfId="0">
      <alignment horizontal="center"/>
    </xf>
    <xf numFmtId="0" fontId="47" fillId="22" borderId="1" applyAlignment="1" pivotButton="0" quotePrefix="0" xfId="0">
      <alignment vertical="top" wrapText="1"/>
    </xf>
    <xf numFmtId="0" fontId="47" fillId="22" borderId="0" pivotButton="0" quotePrefix="0" xfId="0"/>
    <xf numFmtId="0" fontId="46" fillId="0" borderId="0" pivotButton="0" quotePrefix="0" xfId="0"/>
    <xf numFmtId="0" fontId="47" fillId="22" borderId="1" applyAlignment="1" pivotButton="0" quotePrefix="0" xfId="0">
      <alignment horizontal="left" vertical="top" wrapText="1"/>
    </xf>
    <xf numFmtId="0" fontId="48" fillId="23" borderId="0" applyAlignment="1" pivotButton="0" quotePrefix="0" xfId="0">
      <alignment horizontal="left" vertical="center" indent="1"/>
    </xf>
    <xf numFmtId="0" fontId="49" fillId="0" borderId="0" applyAlignment="1" pivotButton="0" quotePrefix="0" xfId="0">
      <alignment horizontal="left" vertical="center" wrapText="1" indent="1"/>
    </xf>
    <xf numFmtId="0" fontId="50" fillId="24" borderId="0" applyAlignment="1" pivotButton="0" quotePrefix="0" xfId="0">
      <alignment horizontal="left" vertical="center" indent="1"/>
    </xf>
    <xf numFmtId="0" fontId="48" fillId="2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47" fillId="22" borderId="2" applyAlignment="1" pivotButton="0" quotePrefix="0" xfId="0">
      <alignment vertical="top" wrapText="1"/>
    </xf>
    <xf numFmtId="0" fontId="51" fillId="26" borderId="2" applyAlignment="1" pivotButton="0" quotePrefix="0" xfId="0">
      <alignment vertical="top" wrapText="1"/>
    </xf>
    <xf numFmtId="0" fontId="52" fillId="27" borderId="2" applyAlignment="1" pivotButton="0" quotePrefix="0" xfId="0">
      <alignment vertical="top" wrapText="1"/>
    </xf>
    <xf numFmtId="0" fontId="5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dxfs count="9">
    <dxf>
      <font>
        <name val="Arial"/>
        <b val="1"/>
        <color rgb="0038761D"/>
      </font>
      <fill>
        <patternFill patternType="solid">
          <fgColor rgb="00D9EAD3"/>
        </patternFill>
      </fill>
    </dxf>
    <dxf>
      <font>
        <name val="Arial"/>
        <b val="1"/>
        <color rgb="00C00000"/>
      </font>
      <fill>
        <patternFill patternType="solid">
          <fgColor rgb="00F8CBCB"/>
        </patternFill>
      </fill>
    </dxf>
    <dxf>
      <font>
        <name val="Arial"/>
        <b val="1"/>
        <color rgb="00444444"/>
        <sz val="9"/>
      </font>
      <fill>
        <patternFill patternType="solid">
          <fgColor rgb="00E8E8E8"/>
        </patternFill>
      </fill>
    </dxf>
    <dxf>
      <font>
        <name val="Arial"/>
        <b val="1"/>
        <color rgb="001155CC"/>
        <sz val="9"/>
      </font>
      <fill>
        <patternFill patternType="solid">
          <fgColor rgb="00D9E7F5"/>
        </patternFill>
      </fill>
    </dxf>
    <dxf>
      <font>
        <name val="Arial"/>
        <b val="1"/>
        <color rgb="00B45F06"/>
        <sz val="9"/>
      </font>
      <fill>
        <patternFill patternType="solid">
          <fgColor rgb="00FFF2CC"/>
        </patternFill>
      </fill>
    </dxf>
    <dxf>
      <font>
        <name val="Arial"/>
        <b val="1"/>
        <color rgb="00C00000"/>
        <sz val="9"/>
      </font>
      <fill>
        <patternFill patternType="solid">
          <fgColor rgb="00F8CBCB"/>
        </patternFill>
      </fill>
    </dxf>
    <dxf>
      <font>
        <name val="Arial"/>
        <b val="1"/>
        <color rgb="00B45F06"/>
        <sz val="9"/>
      </font>
      <fill>
        <patternFill patternType="solid">
          <fgColor rgb="00FCE5CD"/>
        </patternFill>
      </fill>
    </dxf>
    <dxf>
      <font>
        <name val="Arial"/>
        <b val="1"/>
        <color rgb="0038761D"/>
        <sz val="9"/>
      </font>
      <fill>
        <patternFill patternType="solid">
          <fgColor rgb="00D9EAD3"/>
        </patternFill>
      </fill>
    </dxf>
    <dxf>
      <font>
        <name val="Arial"/>
        <b val="1"/>
        <color rgb="00351C75"/>
        <sz val="9"/>
      </font>
      <fill>
        <patternFill patternType="solid">
          <fgColor rgb="00E4D7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DecisionOS -&gt; SaaS-Stable Tracker</t>
        </is>
      </c>
    </row>
    <row r="2">
      <c r="A2" s="2" t="inlineStr">
        <is>
          <t>Sprint plan + Kanban board covering every fix from the backend, schema/scale, and AI/Brain reviews, ending in DevOps + Data Migration.</t>
        </is>
      </c>
    </row>
    <row r="3">
      <c r="A3" s="3" t="inlineStr">
        <is>
          <t>Generated 2026-08-04 · Branch: Backend_optimization · Source docs: docs/BACKEND_SAAS_READINESS_REVIEW.md, docs/BACKEND_SCHEMA_SCALE_GOLIVE_REVIEW.md, docs/AI_BRAIN_AGENTIC_REVIEW.md</t>
        </is>
      </c>
    </row>
    <row r="5">
      <c r="A5" s="4" t="inlineStr">
        <is>
          <t>How to use this workbook</t>
        </is>
      </c>
    </row>
    <row r="6" ht="30" customHeight="1">
      <c r="A6" s="5" t="inlineStr">
        <is>
          <t>•</t>
        </is>
      </c>
      <c r="B6" s="6" t="inlineStr">
        <is>
          <t>Dashboard — live rollup of every sprint AND the Testing Plan: task counts, % complete, open P0s, and the overall go-live gate status. All formulas — edit Status on Task Backlog / Testing Plan and this updates itself.</t>
        </is>
      </c>
    </row>
    <row r="7" ht="30" customHeight="1">
      <c r="A7" s="5" t="inlineStr">
        <is>
          <t>•</t>
        </is>
      </c>
      <c r="B7" s="6" t="inlineStr">
        <is>
          <t>Task Backlog — the single source of truth for engineering work. One row per fix. Change the Status dropdown as work moves; this drives the Dashboard and is the sortable/filterable 'sprint sheet.'</t>
        </is>
      </c>
    </row>
    <row r="8" ht="30" customHeight="1">
      <c r="A8" s="5" t="inlineStr">
        <is>
          <t>•</t>
        </is>
      </c>
      <c r="B8" s="6" t="inlineStr">
        <is>
          <t>Kanban Board — visual board grouped by Sprint (the swimlanes), cards color-coded by Priority. Snapshot view for planning conversations; the Task Backlog is what you actually edit day to day.</t>
        </is>
      </c>
    </row>
    <row r="9" ht="30" customHeight="1">
      <c r="A9" s="5" t="inlineStr">
        <is>
          <t>•</t>
        </is>
      </c>
      <c r="B9" s="6" t="inlineStr">
        <is>
          <t>Testing Plan — every test type required before going live (automated, multi-tenant isolation, security, load/performance, resilience, migration/backup) PLUS the Alpha -&gt; Closed Beta -&gt; Staged Beta -&gt; GA rollout milestones with entry/exit criteria for each stage.</t>
        </is>
      </c>
    </row>
    <row r="10" ht="30" customHeight="1">
      <c r="A10" s="5" t="inlineStr">
        <is>
          <t>•</t>
        </is>
      </c>
      <c r="B10" s="6" t="inlineStr">
        <is>
          <t>Go-Live Checklist — the final gate. Every row must be checked TRUE before opening self-serve signup or onboarding client #1 at scale — includes a line item confirming every Testing Plan phase passed.</t>
        </is>
      </c>
    </row>
    <row r="11">
      <c r="A11" t="inlineStr">
        <is>
          <t>•</t>
        </is>
      </c>
      <c r="B11" t="inlineStr">
        <is>
          <t>RBAC &amp; People Access — product-level audit of who-can-do-what. Companion to Sprint 2. Backlog items RBAC-01..30 also mirrored into Task Backlog under sprint 'Sprint 2.5' / 'Sprint 3' / 'Sprint 4' / 'Sprint 5'.</t>
        </is>
      </c>
    </row>
    <row r="13">
      <c r="A13" s="4" t="inlineStr">
        <is>
          <t>Legend — Priority</t>
        </is>
      </c>
    </row>
    <row r="14">
      <c r="A14" s="7" t="inlineStr">
        <is>
          <t>P0</t>
        </is>
      </c>
      <c r="B14" s="8" t="inlineStr">
        <is>
          <t>Ship-blocker — must close before the next tenant / go-live gate it sits in</t>
        </is>
      </c>
    </row>
    <row r="15">
      <c r="A15" s="9" t="inlineStr">
        <is>
          <t>P1</t>
        </is>
      </c>
      <c r="B15" s="8" t="inlineStr">
        <is>
          <t>Fix before selling to a real customer — not an immediate blocker but close soon</t>
        </is>
      </c>
    </row>
    <row r="16">
      <c r="A16" s="10" t="inlineStr">
        <is>
          <t>P2</t>
        </is>
      </c>
      <c r="B16" s="8" t="inlineStr">
        <is>
          <t>Quality/hardening — schedule once P0/P1 are clear</t>
        </is>
      </c>
    </row>
    <row r="18">
      <c r="A18" s="4" t="inlineStr">
        <is>
          <t>Legend — Status</t>
        </is>
      </c>
    </row>
    <row r="19">
      <c r="A19" s="11" t="inlineStr">
        <is>
          <t>Backlog</t>
        </is>
      </c>
    </row>
    <row r="20">
      <c r="A20" s="12" t="inlineStr">
        <is>
          <t>To Do</t>
        </is>
      </c>
    </row>
    <row r="21">
      <c r="A21" s="13" t="inlineStr">
        <is>
          <t>In Progress</t>
        </is>
      </c>
    </row>
    <row r="22">
      <c r="A22" s="7" t="inlineStr">
        <is>
          <t>Blocked</t>
        </is>
      </c>
    </row>
    <row r="23">
      <c r="A23" s="9" t="inlineStr">
        <is>
          <t>In Review</t>
        </is>
      </c>
    </row>
    <row r="24">
      <c r="A24" s="14" t="inlineStr">
        <is>
          <t>Done</t>
        </is>
      </c>
    </row>
    <row r="26" ht="45" customHeight="1">
      <c r="A26" s="4" t="inlineStr">
        <is>
          <t>Cells to edit</t>
        </is>
      </c>
    </row>
    <row r="27">
      <c r="A27" s="6" t="inlineStr">
        <is>
          <t>On Task Backlog: Status, Owner, Start Date, Due Date, and Notes are yours to fill in / update. On Testing Plan: Status and Owner are yours to update. On Go-Live Checklist: set Done? to TRUE only once verified. All editable columns are shown with a gold header fill. Everything else documents the finding and should not need editing.</t>
        </is>
      </c>
    </row>
  </sheetData>
  <mergeCells count="3">
    <mergeCell ref="A26:B26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40" customWidth="1" min="8" max="8"/>
  </cols>
  <sheetData>
    <row r="2">
      <c r="B2" s="1" t="inlineStr">
        <is>
          <t>Go-Live Readiness Dashboard</t>
        </is>
      </c>
    </row>
    <row r="3">
      <c r="B3" s="15" t="inlineStr">
        <is>
          <t>Everything below recalculates from Task Backlog — update Status there, not here.</t>
        </is>
      </c>
    </row>
    <row r="5">
      <c r="B5" s="16" t="inlineStr">
        <is>
          <t>Total tasks</t>
        </is>
      </c>
      <c r="C5" s="17">
        <f>COUNTA('Task Backlog'!A2:A84)</f>
        <v/>
      </c>
    </row>
    <row r="6">
      <c r="B6" s="16" t="inlineStr">
        <is>
          <t>Done</t>
        </is>
      </c>
      <c r="C6" s="17">
        <f>COUNTIF('Task Backlog'!J2:J84,"Done")</f>
        <v/>
      </c>
    </row>
    <row r="7">
      <c r="B7" s="16" t="inlineStr">
        <is>
          <t>Overall % complete</t>
        </is>
      </c>
      <c r="C7" s="18">
        <f>IFERROR(C6/C5,0)</f>
        <v/>
      </c>
    </row>
    <row r="8">
      <c r="B8" s="16" t="inlineStr">
        <is>
          <t>Open P0s (all sprints)</t>
        </is>
      </c>
      <c r="C8" s="17">
        <f>COUNTIFS('Task Backlog'!F2:F84,"P0",'Task Backlog'!J2:J84,"&lt;&gt;Done")</f>
        <v/>
      </c>
    </row>
    <row r="9">
      <c r="B9" s="16" t="inlineStr">
        <is>
          <t>Go-Live blockers still open</t>
        </is>
      </c>
      <c r="C9" s="17">
        <f>COUNTIFS('Task Backlog'!N2:N84,"Yes",'Task Backlog'!J2:J84,"&lt;&gt;Done")</f>
        <v/>
      </c>
    </row>
    <row r="10">
      <c r="B10" s="16" t="inlineStr">
        <is>
          <t>Testing Plan phases not yet Passed</t>
        </is>
      </c>
      <c r="C10" s="17">
        <f>COUNTIF('Testing Plan'!I13:I33,"&lt;&gt;Passed")</f>
        <v/>
      </c>
    </row>
    <row r="12">
      <c r="B12" s="4" t="inlineStr">
        <is>
          <t>READY FOR 100-CLIENT SaaS?</t>
        </is>
      </c>
      <c r="C12" s="19">
        <f>IF(AND(C9=0,C10=0),"READY — all go-live blockers closed and every testing phase passed","NOT READY — "&amp;C9&amp;" blocker(s) open, "&amp;C10&amp;" testing phase(s) not yet Passed")</f>
        <v/>
      </c>
    </row>
    <row r="14" ht="26" customHeight="1">
      <c r="B14" s="20" t="inlineStr">
        <is>
          <t>Sprint</t>
        </is>
      </c>
      <c r="C14" s="20" t="inlineStr">
        <is>
          <t>Goal</t>
        </is>
      </c>
      <c r="D14" s="20" t="inlineStr">
        <is>
          <t>Gate?</t>
        </is>
      </c>
      <c r="E14" s="20" t="inlineStr">
        <is>
          <t>Total</t>
        </is>
      </c>
      <c r="F14" s="20" t="inlineStr">
        <is>
          <t>Done</t>
        </is>
      </c>
      <c r="G14" s="20" t="inlineStr">
        <is>
          <t>% Complete</t>
        </is>
      </c>
      <c r="H14" s="20" t="inlineStr">
        <is>
          <t>Open P0s</t>
        </is>
      </c>
    </row>
    <row r="15" ht="34" customHeight="1">
      <c r="B15" s="21" t="inlineStr">
        <is>
          <t>Sprint 0 — Critical Security &amp; Auth</t>
        </is>
      </c>
      <c r="C15" s="22" t="inlineStr">
        <is>
          <t>Close every exploit that would get the platform owned in week one. No external tenant before this is clear.</t>
        </is>
      </c>
      <c r="D15" s="23" t="inlineStr">
        <is>
          <t>GATE</t>
        </is>
      </c>
      <c r="E15" s="24">
        <f>COUNTIF('Task Backlog'!B2:B84,"Sprint 0")</f>
        <v/>
      </c>
      <c r="F15" s="24">
        <f>COUNTIFS('Task Backlog'!B2:B84,"Sprint 0",'Task Backlog'!J2:J84,"Done")</f>
        <v/>
      </c>
      <c r="G15" s="25">
        <f>IFERROR(F15/E15,0)</f>
        <v/>
      </c>
      <c r="H15" s="24">
        <f>COUNTIFS('Task Backlog'!B2:B84,"Sprint 0",'Task Backlog'!F2:F84,"P0",'Task Backlog'!J2:J84,"&lt;&gt;Done")</f>
        <v/>
      </c>
    </row>
    <row r="16" ht="34" customHeight="1">
      <c r="B16" s="26" t="inlineStr">
        <is>
          <t>Sprint 1 — Scale &amp; Operational Blockers</t>
        </is>
      </c>
      <c r="C16" s="22" t="inlineStr">
        <is>
          <t>Fix the operational issues that break under multiple replicas / real concurrent load.</t>
        </is>
      </c>
      <c r="D16" s="23" t="inlineStr">
        <is>
          <t>GATE</t>
        </is>
      </c>
      <c r="E16" s="24">
        <f>COUNTIF('Task Backlog'!B2:B84,"Sprint 1")</f>
        <v/>
      </c>
      <c r="F16" s="24">
        <f>COUNTIFS('Task Backlog'!B2:B84,"Sprint 1",'Task Backlog'!J2:J84,"Done")</f>
        <v/>
      </c>
      <c r="G16" s="25">
        <f>IFERROR(F16/E16,0)</f>
        <v/>
      </c>
      <c r="H16" s="24">
        <f>COUNTIFS('Task Backlog'!B2:B84,"Sprint 1",'Task Backlog'!F2:F84,"P0",'Task Backlog'!J2:J84,"&lt;&gt;Done")</f>
        <v/>
      </c>
    </row>
    <row r="17" ht="34" customHeight="1">
      <c r="B17" s="27" t="inlineStr">
        <is>
          <t>Sprint 2 — Tenancy Hygiene &amp; Data Integrity</t>
        </is>
      </c>
      <c r="C17" s="22" t="inlineStr">
        <is>
          <t>Harden tenant isolation edges and fix data-integrity rough spots found in the schema audit.</t>
        </is>
      </c>
      <c r="D17" s="28" t="inlineStr">
        <is>
          <t>Parallel</t>
        </is>
      </c>
      <c r="E17" s="24">
        <f>COUNTIF('Task Backlog'!B2:B84,"Sprint 2")</f>
        <v/>
      </c>
      <c r="F17" s="24">
        <f>COUNTIFS('Task Backlog'!B2:B84,"Sprint 2",'Task Backlog'!J2:J84,"Done")</f>
        <v/>
      </c>
      <c r="G17" s="25">
        <f>IFERROR(F17/E17,0)</f>
        <v/>
      </c>
      <c r="H17" s="24">
        <f>COUNTIFS('Task Backlog'!B2:B84,"Sprint 2",'Task Backlog'!F2:F84,"P0",'Task Backlog'!J2:J84,"&lt;&gt;Done")</f>
        <v/>
      </c>
    </row>
    <row r="18" ht="34" customHeight="1">
      <c r="B18" s="29" t="inlineStr">
        <is>
          <t>Sprint 3 — Billing &amp; Multi-Tenant AI Keys</t>
        </is>
      </c>
      <c r="C18" s="22" t="inlineStr">
        <is>
          <t>Stand up real billing and per-tenant AI cost isolation — required before charging money.</t>
        </is>
      </c>
      <c r="D18" s="23" t="inlineStr">
        <is>
          <t>GATE</t>
        </is>
      </c>
      <c r="E18" s="24">
        <f>COUNTIF('Task Backlog'!B2:B84,"Sprint 3")</f>
        <v/>
      </c>
      <c r="F18" s="24">
        <f>COUNTIFS('Task Backlog'!B2:B84,"Sprint 3",'Task Backlog'!J2:J84,"Done")</f>
        <v/>
      </c>
      <c r="G18" s="25">
        <f>IFERROR(F18/E18,0)</f>
        <v/>
      </c>
      <c r="H18" s="24">
        <f>COUNTIFS('Task Backlog'!B2:B84,"Sprint 3",'Task Backlog'!F2:F84,"P0",'Task Backlog'!J2:J84,"&lt;&gt;Done")</f>
        <v/>
      </c>
    </row>
    <row r="19" ht="34" customHeight="1">
      <c r="B19" s="30" t="inlineStr">
        <is>
          <t>Sprint 4 — AI Brain / Agentic Enhancement</t>
        </is>
      </c>
      <c r="C19" s="22" t="inlineStr">
        <is>
          <t>Upgrade retrieval to real RAG and the Brain toward agentic. Parallel track — does not block go-live.</t>
        </is>
      </c>
      <c r="D19" s="28" t="inlineStr">
        <is>
          <t>Parallel</t>
        </is>
      </c>
      <c r="E19" s="24">
        <f>COUNTIF('Task Backlog'!B2:B84,"Sprint 4")</f>
        <v/>
      </c>
      <c r="F19" s="24">
        <f>COUNTIFS('Task Backlog'!B2:B84,"Sprint 4",'Task Backlog'!J2:J84,"Done")</f>
        <v/>
      </c>
      <c r="G19" s="25">
        <f>IFERROR(F19/E19,0)</f>
        <v/>
      </c>
      <c r="H19" s="24">
        <f>COUNTIFS('Task Backlog'!B2:B84,"Sprint 4",'Task Backlog'!F2:F84,"P0",'Task Backlog'!J2:J84,"&lt;&gt;Done")</f>
        <v/>
      </c>
    </row>
    <row r="20" ht="34" customHeight="1">
      <c r="B20" s="31" t="inlineStr">
        <is>
          <t>Sprint 5 — DevOps, Deployment &amp; Data Migration</t>
        </is>
      </c>
      <c r="C20" s="22" t="inlineStr">
        <is>
          <t>Final gate: staging, load test, observability, tested backups, migration plan, staged rollout, go/no-go.</t>
        </is>
      </c>
      <c r="D20" s="23" t="inlineStr">
        <is>
          <t>GATE</t>
        </is>
      </c>
      <c r="E20" s="24">
        <f>COUNTIF('Task Backlog'!B2:B84,"Sprint 5")</f>
        <v/>
      </c>
      <c r="F20" s="24">
        <f>COUNTIFS('Task Backlog'!B2:B84,"Sprint 5",'Task Backlog'!J2:J84,"Done")</f>
        <v/>
      </c>
      <c r="G20" s="25">
        <f>IFERROR(F20/E20,0)</f>
        <v/>
      </c>
      <c r="H20" s="24">
        <f>COUNTIFS('Task Backlog'!B2:B84,"Sprint 5",'Task Backlog'!F2:F84,"P0",'Task Backlog'!J2:J84,"&lt;&gt;Done")</f>
        <v/>
      </c>
    </row>
  </sheetData>
  <mergeCells count="2">
    <mergeCell ref="C12:H12"/>
    <mergeCell ref="B3:H3"/>
  </mergeCells>
  <conditionalFormatting sqref="C12">
    <cfRule type="expression" priority="1" dxfId="0">
      <formula>AND($C$9=0,$C$10=0)</formula>
    </cfRule>
    <cfRule type="expression" priority="2" dxfId="1">
      <formula>OR($C$9&gt;0,$C$10&gt;0)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32" customWidth="1" min="4" max="4"/>
    <col width="52" customWidth="1" min="5" max="5"/>
    <col width="9" customWidth="1" min="6" max="6"/>
    <col width="20" customWidth="1" min="7" max="7"/>
    <col width="26" customWidth="1" min="8" max="8"/>
    <col width="10" customWidth="1" min="9" max="9"/>
    <col width="13" customWidth="1" min="10" max="10"/>
    <col width="12" customWidth="1" min="11" max="11"/>
    <col width="12" customWidth="1" min="12" max="12"/>
    <col width="12" customWidth="1" min="13" max="13"/>
    <col width="13" customWidth="1" min="14" max="14"/>
    <col width="30" customWidth="1" min="15" max="15"/>
  </cols>
  <sheetData>
    <row r="1" ht="30" customHeight="1">
      <c r="A1" s="32" t="inlineStr">
        <is>
          <t>ID</t>
        </is>
      </c>
      <c r="B1" s="32" t="inlineStr">
        <is>
          <t>Sprint</t>
        </is>
      </c>
      <c r="C1" s="32" t="inlineStr">
        <is>
          <t>Category</t>
        </is>
      </c>
      <c r="D1" s="32" t="inlineStr">
        <is>
          <t>Task</t>
        </is>
      </c>
      <c r="E1" s="32" t="inlineStr">
        <is>
          <t>Fix / Description</t>
        </is>
      </c>
      <c r="F1" s="32" t="inlineStr">
        <is>
          <t>Priority</t>
        </is>
      </c>
      <c r="G1" s="32" t="inlineStr">
        <is>
          <t>Source Doc</t>
        </is>
      </c>
      <c r="H1" s="32" t="inlineStr">
        <is>
          <t>File Reference</t>
        </is>
      </c>
      <c r="I1" s="32" t="inlineStr">
        <is>
          <t>Effort (S/M/L)</t>
        </is>
      </c>
      <c r="J1" s="33" t="inlineStr">
        <is>
          <t>Status</t>
        </is>
      </c>
      <c r="K1" s="33" t="inlineStr">
        <is>
          <t>Owner</t>
        </is>
      </c>
      <c r="L1" s="33" t="inlineStr">
        <is>
          <t>Start Date</t>
        </is>
      </c>
      <c r="M1" s="33" t="inlineStr">
        <is>
          <t>Due Date</t>
        </is>
      </c>
      <c r="N1" s="32" t="inlineStr">
        <is>
          <t>Blocks Go-Live?</t>
        </is>
      </c>
      <c r="O1" s="33" t="inlineStr">
        <is>
          <t>Notes</t>
        </is>
      </c>
    </row>
    <row r="2" ht="32" customHeight="1">
      <c r="A2" s="103" t="inlineStr">
        <is>
          <t>S0-01</t>
        </is>
      </c>
      <c r="B2" s="35" t="inlineStr">
        <is>
          <t>Sprint 0</t>
        </is>
      </c>
      <c r="C2" s="103" t="inlineStr">
        <is>
          <t>Security/Auth</t>
        </is>
      </c>
      <c r="D2" s="22" t="inlineStr">
        <is>
          <t>Remove hardcoded superadmin default credentials</t>
        </is>
      </c>
      <c r="E2" s="22" t="inlineStr">
        <is>
          <t>Require env vars for SUPERADMIN_EMAIL/PASSWORD; stop overwriting DB hash on every restart so rotation works</t>
        </is>
      </c>
      <c r="F2" s="36" t="inlineStr">
        <is>
          <t>P0</t>
        </is>
      </c>
      <c r="G2" s="103" t="inlineStr">
        <is>
          <t>SaaS Readiness Review</t>
        </is>
      </c>
      <c r="H2" s="103" t="inlineStr">
        <is>
          <t>server.py:4925-4937</t>
        </is>
      </c>
      <c r="I2" s="103" t="inlineStr">
        <is>
          <t>S</t>
        </is>
      </c>
      <c r="J2" s="104" t="inlineStr">
        <is>
          <t>Done</t>
        </is>
      </c>
      <c r="K2" s="103" t="inlineStr"/>
      <c r="L2" s="103" t="inlineStr">
        <is>
          <t>2026-08-11</t>
        </is>
      </c>
      <c r="M2" s="103" t="inlineStr">
        <is>
          <t>2026-08-11</t>
        </is>
      </c>
      <c r="N2" s="23" t="inlineStr">
        <is>
          <t>Yes</t>
        </is>
      </c>
      <c r="O2" s="22" t="inlineStr">
        <is>
          <t xml:space="preserve">Shipped in FIX-006-A (c57b550). </t>
        </is>
      </c>
    </row>
    <row r="3" ht="32" customHeight="1">
      <c r="A3" s="103" t="inlineStr">
        <is>
          <t>S0-02</t>
        </is>
      </c>
      <c r="B3" s="35" t="inlineStr">
        <is>
          <t>Sprint 0</t>
        </is>
      </c>
      <c r="C3" s="103" t="inlineStr">
        <is>
          <t>Security/Auth</t>
        </is>
      </c>
      <c r="D3" s="22" t="inlineStr">
        <is>
          <t>Fix CORS wildcard + credentials</t>
        </is>
      </c>
      <c r="E3" s="22" t="inlineStr">
        <is>
          <t>Replace allow_origin_regex='.*' with a strict origin allow-list; add CSRF protection for cookie-authed mutating routes</t>
        </is>
      </c>
      <c r="F3" s="36" t="inlineStr">
        <is>
          <t>P0</t>
        </is>
      </c>
      <c r="G3" s="103" t="inlineStr">
        <is>
          <t>SaaS Readiness Review</t>
        </is>
      </c>
      <c r="H3" s="103" t="inlineStr">
        <is>
          <t>server.py:4994-5001, core.py:218-222</t>
        </is>
      </c>
      <c r="I3" s="103" t="inlineStr">
        <is>
          <t>M</t>
        </is>
      </c>
      <c r="J3" s="104" t="inlineStr">
        <is>
          <t>Done</t>
        </is>
      </c>
      <c r="K3" s="103" t="inlineStr"/>
      <c r="L3" s="103" t="inlineStr">
        <is>
          <t>2026-08-12</t>
        </is>
      </c>
      <c r="M3" s="103" t="inlineStr">
        <is>
          <t>2026-08-12</t>
        </is>
      </c>
      <c r="N3" s="23" t="inlineStr">
        <is>
          <t>Yes</t>
        </is>
      </c>
      <c r="O3" s="22" t="inlineStr">
        <is>
          <t xml:space="preserve">Shipped in FIX-006-B (ababc06). </t>
        </is>
      </c>
    </row>
    <row r="4" ht="32" customHeight="1">
      <c r="A4" s="103" t="inlineStr">
        <is>
          <t>S0-03</t>
        </is>
      </c>
      <c r="B4" s="35" t="inlineStr">
        <is>
          <t>Sprint 0</t>
        </is>
      </c>
      <c r="C4" s="103" t="inlineStr">
        <is>
          <t>Security/Auth</t>
        </is>
      </c>
      <c r="D4" s="22" t="inlineStr">
        <is>
          <t>Auth-gate file downloads</t>
        </is>
      </c>
      <c r="E4" s="22" t="inlineStr">
        <is>
          <t>Add get_current_user + tenant ownership check to GET /api/files/{fname}; currently unauth, guessable UUID = any tenant's file</t>
        </is>
      </c>
      <c r="F4" s="36" t="inlineStr">
        <is>
          <t>P0</t>
        </is>
      </c>
      <c r="G4" s="103" t="inlineStr">
        <is>
          <t>SaaS Readiness Review</t>
        </is>
      </c>
      <c r="H4" s="103" t="inlineStr">
        <is>
          <t>server.py:3032-3038</t>
        </is>
      </c>
      <c r="I4" s="103" t="inlineStr">
        <is>
          <t>S</t>
        </is>
      </c>
      <c r="J4" s="104" t="inlineStr">
        <is>
          <t>Done</t>
        </is>
      </c>
      <c r="K4" s="103" t="inlineStr"/>
      <c r="L4" s="103" t="inlineStr">
        <is>
          <t>2026-08-12</t>
        </is>
      </c>
      <c r="M4" s="103" t="inlineStr">
        <is>
          <t>2026-08-12</t>
        </is>
      </c>
      <c r="N4" s="23" t="inlineStr">
        <is>
          <t>Yes</t>
        </is>
      </c>
      <c r="O4" s="22" t="inlineStr">
        <is>
          <t xml:space="preserve">Shipped in FIX-006-C (685141d). </t>
        </is>
      </c>
    </row>
    <row r="5" ht="32" customHeight="1">
      <c r="A5" s="103" t="inlineStr">
        <is>
          <t>S0-04</t>
        </is>
      </c>
      <c r="B5" s="35" t="inlineStr">
        <is>
          <t>Sprint 0</t>
        </is>
      </c>
      <c r="C5" s="103" t="inlineStr">
        <is>
          <t>Security/Auth</t>
        </is>
      </c>
      <c r="D5" s="22" t="inlineStr">
        <is>
          <t>Kill dev-mode OTP leak</t>
        </is>
      </c>
      <c r="E5" s="22" t="inlineStr">
        <is>
          <t>Stop returning dev_otp in the API response; hard-fail boot if no SMS provider configured when ENV=prod</t>
        </is>
      </c>
      <c r="F5" s="36" t="inlineStr">
        <is>
          <t>P0</t>
        </is>
      </c>
      <c r="G5" s="103" t="inlineStr">
        <is>
          <t>SaaS Readiness Review</t>
        </is>
      </c>
      <c r="H5" s="103" t="inlineStr">
        <is>
          <t>server.py:1345-1347</t>
        </is>
      </c>
      <c r="I5" s="103" t="inlineStr">
        <is>
          <t>S</t>
        </is>
      </c>
      <c r="J5" s="104" t="inlineStr">
        <is>
          <t>Done</t>
        </is>
      </c>
      <c r="K5" s="103" t="inlineStr"/>
      <c r="L5" s="103" t="inlineStr">
        <is>
          <t>2026-08-12</t>
        </is>
      </c>
      <c r="M5" s="103" t="inlineStr">
        <is>
          <t>2026-08-12</t>
        </is>
      </c>
      <c r="N5" s="23" t="inlineStr">
        <is>
          <t>Yes</t>
        </is>
      </c>
      <c r="O5" s="22" t="inlineStr">
        <is>
          <t xml:space="preserve">Shipped in FIX-006-C (685141d). </t>
        </is>
      </c>
    </row>
    <row r="6" ht="32" customHeight="1">
      <c r="A6" s="103" t="inlineStr">
        <is>
          <t>S0-05</t>
        </is>
      </c>
      <c r="B6" s="35" t="inlineStr">
        <is>
          <t>Sprint 0</t>
        </is>
      </c>
      <c r="C6" s="103" t="inlineStr">
        <is>
          <t>Security/Auth</t>
        </is>
      </c>
      <c r="D6" s="22" t="inlineStr">
        <is>
          <t>Fix WhatsApp signature bypass</t>
        </is>
      </c>
      <c r="E6" s="22" t="inlineStr">
        <is>
          <t>Reject the webhook request on HMAC mismatch instead of logging + processing anyway</t>
        </is>
      </c>
      <c r="F6" s="36" t="inlineStr">
        <is>
          <t>P0</t>
        </is>
      </c>
      <c r="G6" s="103" t="inlineStr">
        <is>
          <t>SaaS Readiness Review</t>
        </is>
      </c>
      <c r="H6" s="103" t="inlineStr">
        <is>
          <t>server.py:3919-3933</t>
        </is>
      </c>
      <c r="I6" s="103" t="inlineStr">
        <is>
          <t>S</t>
        </is>
      </c>
      <c r="J6" s="104" t="inlineStr">
        <is>
          <t>Done</t>
        </is>
      </c>
      <c r="K6" s="103" t="inlineStr"/>
      <c r="L6" s="103" t="inlineStr">
        <is>
          <t>2026-08-12</t>
        </is>
      </c>
      <c r="M6" s="103" t="inlineStr">
        <is>
          <t>2026-08-12</t>
        </is>
      </c>
      <c r="N6" s="23" t="inlineStr">
        <is>
          <t>Yes</t>
        </is>
      </c>
      <c r="O6" s="22" t="inlineStr">
        <is>
          <t xml:space="preserve">Shipped in FIX-006-C (685141d). </t>
        </is>
      </c>
    </row>
    <row r="7" ht="32" customHeight="1">
      <c r="A7" s="103" t="inlineStr">
        <is>
          <t>S0-06</t>
        </is>
      </c>
      <c r="B7" s="35" t="inlineStr">
        <is>
          <t>Sprint 0</t>
        </is>
      </c>
      <c r="C7" s="103" t="inlineStr">
        <is>
          <t>Security/Auth</t>
        </is>
      </c>
      <c r="D7" s="22" t="inlineStr">
        <is>
          <t>Rate-limit + captcha unauth AI endpoints</t>
        </is>
      </c>
      <c r="E7" s="22" t="inlineStr">
        <is>
          <t>Add Turnstile/hCaptcha + IP rate limit to /api/signup/* and /api/onboarding/* — currently unauth and can burn unlimited LLM spend</t>
        </is>
      </c>
      <c r="F7" s="36" t="inlineStr">
        <is>
          <t>P0</t>
        </is>
      </c>
      <c r="G7" s="103" t="inlineStr">
        <is>
          <t>SaaS Readiness Review</t>
        </is>
      </c>
      <c r="H7" s="103" t="inlineStr">
        <is>
          <t>routers/signup.py, routers/onboarding.py:39,73</t>
        </is>
      </c>
      <c r="I7" s="103" t="inlineStr">
        <is>
          <t>M</t>
        </is>
      </c>
      <c r="J7" s="104" t="inlineStr">
        <is>
          <t>Done</t>
        </is>
      </c>
      <c r="K7" s="103" t="inlineStr"/>
      <c r="L7" s="103" t="inlineStr">
        <is>
          <t>2026-08-12</t>
        </is>
      </c>
      <c r="M7" s="103" t="inlineStr">
        <is>
          <t>2026-08-12</t>
        </is>
      </c>
      <c r="N7" s="23" t="inlineStr">
        <is>
          <t>Yes</t>
        </is>
      </c>
      <c r="O7" s="22" t="inlineStr">
        <is>
          <t xml:space="preserve">Shipped in FIX-006-D (93a9f1c). </t>
        </is>
      </c>
    </row>
    <row r="8" ht="32" customHeight="1">
      <c r="A8" s="103" t="inlineStr">
        <is>
          <t>S0-07</t>
        </is>
      </c>
      <c r="B8" s="35" t="inlineStr">
        <is>
          <t>Sprint 0</t>
        </is>
      </c>
      <c r="C8" s="103" t="inlineStr">
        <is>
          <t>Security/Auth</t>
        </is>
      </c>
      <c r="D8" s="22" t="inlineStr">
        <is>
          <t>Add login rate limiting</t>
        </is>
      </c>
      <c r="E8" s="22" t="inlineStr">
        <is>
          <t>Tenant user login has no attempt lockout (admin login does); add 5-attempt/15-min lockout to match</t>
        </is>
      </c>
      <c r="F8" s="38" t="inlineStr">
        <is>
          <t>P1</t>
        </is>
      </c>
      <c r="G8" s="103" t="inlineStr">
        <is>
          <t>SaaS Readiness Review</t>
        </is>
      </c>
      <c r="H8" s="103" t="inlineStr">
        <is>
          <t>routers/auth.py:151-162</t>
        </is>
      </c>
      <c r="I8" s="103" t="inlineStr">
        <is>
          <t>S</t>
        </is>
      </c>
      <c r="J8" s="104" t="inlineStr">
        <is>
          <t>Done</t>
        </is>
      </c>
      <c r="K8" s="103" t="inlineStr"/>
      <c r="L8" s="103" t="inlineStr">
        <is>
          <t>2026-08-12</t>
        </is>
      </c>
      <c r="M8" s="103" t="inlineStr">
        <is>
          <t>2026-08-12</t>
        </is>
      </c>
      <c r="N8" s="23" t="inlineStr">
        <is>
          <t>Yes</t>
        </is>
      </c>
      <c r="O8" s="22" t="inlineStr">
        <is>
          <t xml:space="preserve">Shipped in FIX-006-D (93a9f1c). </t>
        </is>
      </c>
    </row>
    <row r="9" ht="32" customHeight="1">
      <c r="A9" s="103" t="inlineStr">
        <is>
          <t>S0-08</t>
        </is>
      </c>
      <c r="B9" s="35" t="inlineStr">
        <is>
          <t>Sprint 0</t>
        </is>
      </c>
      <c r="C9" s="103" t="inlineStr">
        <is>
          <t>Security/Auth</t>
        </is>
      </c>
      <c r="D9" s="22" t="inlineStr">
        <is>
          <t>Stop returning raw JWT in response body</t>
        </is>
      </c>
      <c r="E9" s="22" t="inlineStr">
        <is>
          <t>Login/register return the token in JSON as well as the cookie; any XSS bypasses HttpOnly. Cookie-only.</t>
        </is>
      </c>
      <c r="F9" s="38" t="inlineStr">
        <is>
          <t>P1</t>
        </is>
      </c>
      <c r="G9" s="103" t="inlineStr">
        <is>
          <t>SaaS Readiness Review</t>
        </is>
      </c>
      <c r="H9" s="103" t="inlineStr">
        <is>
          <t>routers/auth.py:148,162</t>
        </is>
      </c>
      <c r="I9" s="103" t="inlineStr">
        <is>
          <t>S</t>
        </is>
      </c>
      <c r="J9" s="104" t="inlineStr">
        <is>
          <t>Done</t>
        </is>
      </c>
      <c r="K9" s="103" t="inlineStr"/>
      <c r="L9" s="103" t="inlineStr">
        <is>
          <t>2026-08-11</t>
        </is>
      </c>
      <c r="M9" s="103" t="inlineStr">
        <is>
          <t>2026-08-11</t>
        </is>
      </c>
      <c r="N9" s="23" t="inlineStr">
        <is>
          <t>Yes</t>
        </is>
      </c>
      <c r="O9" s="22" t="inlineStr">
        <is>
          <t xml:space="preserve">Shipped in FIX-006-A (c57b550). </t>
        </is>
      </c>
    </row>
    <row r="10" ht="32" customHeight="1">
      <c r="A10" s="103" t="inlineStr">
        <is>
          <t>S0-09</t>
        </is>
      </c>
      <c r="B10" s="35" t="inlineStr">
        <is>
          <t>Sprint 0</t>
        </is>
      </c>
      <c r="C10" s="103" t="inlineStr">
        <is>
          <t>Security/Auth</t>
        </is>
      </c>
      <c r="D10" s="22" t="inlineStr">
        <is>
          <t>Split JWT secret: tenant vs platform admin</t>
        </is>
      </c>
      <c r="E10" s="22" t="inlineStr">
        <is>
          <t>Single JWT_SECRET used for both; only the 'type' claim separates them. Use two secrets.</t>
        </is>
      </c>
      <c r="F10" s="38" t="inlineStr">
        <is>
          <t>P1</t>
        </is>
      </c>
      <c r="G10" s="103" t="inlineStr">
        <is>
          <t>SaaS Readiness Review</t>
        </is>
      </c>
      <c r="H10" s="103" t="inlineStr">
        <is>
          <t>core.py:237,297</t>
        </is>
      </c>
      <c r="I10" s="103" t="inlineStr">
        <is>
          <t>S</t>
        </is>
      </c>
      <c r="J10" s="104" t="inlineStr">
        <is>
          <t>Done</t>
        </is>
      </c>
      <c r="K10" s="103" t="inlineStr"/>
      <c r="L10" s="103" t="inlineStr">
        <is>
          <t>2026-08-11</t>
        </is>
      </c>
      <c r="M10" s="103" t="inlineStr">
        <is>
          <t>2026-08-11</t>
        </is>
      </c>
      <c r="N10" s="23" t="inlineStr">
        <is>
          <t>Yes</t>
        </is>
      </c>
      <c r="O10" s="22" t="inlineStr">
        <is>
          <t xml:space="preserve">Shipped in FIX-006-A (c57b550). </t>
        </is>
      </c>
    </row>
    <row r="11" ht="32" customHeight="1">
      <c r="A11" s="103" t="inlineStr">
        <is>
          <t>S0-10</t>
        </is>
      </c>
      <c r="B11" s="35" t="inlineStr">
        <is>
          <t>Sprint 0</t>
        </is>
      </c>
      <c r="C11" s="103" t="inlineStr">
        <is>
          <t>Security/Auth</t>
        </is>
      </c>
      <c r="D11" s="22" t="inlineStr">
        <is>
          <t>Invalidate invite tokens after use</t>
        </is>
      </c>
      <c r="E11" s="22" t="inlineStr">
        <is>
          <t>Invite tokens never expire after first use; invite_start also bypasses OTP cooldown (SMS-bomb vector) and leaks full phone number in the response</t>
        </is>
      </c>
      <c r="F11" s="38" t="inlineStr">
        <is>
          <t>P1</t>
        </is>
      </c>
      <c r="G11" s="103" t="inlineStr">
        <is>
          <t>SaaS Readiness Review</t>
        </is>
      </c>
      <c r="H11" s="103" t="inlineStr">
        <is>
          <t>server.py:1372,1386,1396,1397</t>
        </is>
      </c>
      <c r="I11" s="103" t="inlineStr">
        <is>
          <t>S</t>
        </is>
      </c>
      <c r="J11" s="104" t="inlineStr">
        <is>
          <t>Done</t>
        </is>
      </c>
      <c r="K11" s="103" t="inlineStr"/>
      <c r="L11" s="103" t="inlineStr">
        <is>
          <t>2026-08-11</t>
        </is>
      </c>
      <c r="M11" s="103" t="inlineStr">
        <is>
          <t>2026-08-11</t>
        </is>
      </c>
      <c r="N11" s="23" t="inlineStr">
        <is>
          <t>Yes</t>
        </is>
      </c>
      <c r="O11" s="22" t="inlineStr">
        <is>
          <t xml:space="preserve">Shipped in FIX-006-A (c57b550). </t>
        </is>
      </c>
    </row>
    <row r="12" ht="32" customHeight="1">
      <c r="A12" s="103" t="inlineStr">
        <is>
          <t>S1-01</t>
        </is>
      </c>
      <c r="B12" s="39" t="inlineStr">
        <is>
          <t>Sprint 1</t>
        </is>
      </c>
      <c r="C12" s="103" t="inlineStr">
        <is>
          <t>Scale/Ops</t>
        </is>
      </c>
      <c r="D12" s="22" t="inlineStr">
        <is>
          <t>Externalize the follow-up scheduler</t>
        </is>
      </c>
      <c r="E12" s="22" t="inlineStr">
        <is>
          <t>In-process 300s loop triple-fires (duplicate emails/alerts) with 3 replicas, dies with 1. Move to a single external cron/worker or add leader election.</t>
        </is>
      </c>
      <c r="F12" s="36" t="inlineStr">
        <is>
          <t>P0</t>
        </is>
      </c>
      <c r="G12" s="103" t="inlineStr">
        <is>
          <t>Schema/Scale/Go-Live Review</t>
        </is>
      </c>
      <c r="H12" s="103" t="inlineStr">
        <is>
          <t>server.py:2765, 4946</t>
        </is>
      </c>
      <c r="I12" s="103" t="inlineStr">
        <is>
          <t>M</t>
        </is>
      </c>
      <c r="J12" s="104" t="inlineStr">
        <is>
          <t>Done</t>
        </is>
      </c>
      <c r="K12" s="103" t="inlineStr"/>
      <c r="L12" s="103" t="inlineStr">
        <is>
          <t>2026-08-09</t>
        </is>
      </c>
      <c r="M12" s="103" t="inlineStr">
        <is>
          <t>2026-08-09</t>
        </is>
      </c>
      <c r="N12" s="23" t="inlineStr">
        <is>
          <t>Yes</t>
        </is>
      </c>
      <c r="O12" s="22" t="inlineStr">
        <is>
          <t>Shipped in FIX-002-D ((this commit)).</t>
        </is>
      </c>
    </row>
    <row r="13" ht="32" customHeight="1">
      <c r="A13" s="103" t="inlineStr">
        <is>
          <t>S1-02</t>
        </is>
      </c>
      <c r="B13" s="39" t="inlineStr">
        <is>
          <t>Sprint 1</t>
        </is>
      </c>
      <c r="C13" s="103" t="inlineStr">
        <is>
          <t>Scale/Ops</t>
        </is>
      </c>
      <c r="D13" s="22" t="inlineStr">
        <is>
          <t>Index phone, drop Python-side filter</t>
        </is>
      </c>
      <c r="E13" s="22" t="inlineStr">
        <is>
          <t>OTP login + WhatsApp routing do a full collection scan with no phone index, capped at 2000-5000 docs (silent lockout beyond that). Add (tenant_id, phone) index.</t>
        </is>
      </c>
      <c r="F13" s="36" t="inlineStr">
        <is>
          <t>P0</t>
        </is>
      </c>
      <c r="G13" s="103" t="inlineStr">
        <is>
          <t>Schema/Scale/Go-Live Review</t>
        </is>
      </c>
      <c r="H13" s="103" t="inlineStr">
        <is>
          <t>server.py:1357,1419,4004</t>
        </is>
      </c>
      <c r="I13" s="103" t="inlineStr">
        <is>
          <t>S</t>
        </is>
      </c>
      <c r="J13" s="104" t="inlineStr">
        <is>
          <t>Done</t>
        </is>
      </c>
      <c r="K13" s="103" t="inlineStr"/>
      <c r="L13" s="103" t="inlineStr">
        <is>
          <t>2026-08-09</t>
        </is>
      </c>
      <c r="M13" s="103" t="inlineStr">
        <is>
          <t>2026-08-09</t>
        </is>
      </c>
      <c r="N13" s="23" t="inlineStr">
        <is>
          <t>Yes</t>
        </is>
      </c>
      <c r="O13" s="22" t="inlineStr">
        <is>
          <t>Shipped in FIX-002-A (e21a9b3).</t>
        </is>
      </c>
    </row>
    <row r="14" ht="32" customHeight="1">
      <c r="A14" s="103" t="inlineStr">
        <is>
          <t>S1-03</t>
        </is>
      </c>
      <c r="B14" s="39" t="inlineStr">
        <is>
          <t>Sprint 1</t>
        </is>
      </c>
      <c r="C14" s="103" t="inlineStr">
        <is>
          <t>Scale/Ops</t>
        </is>
      </c>
      <c r="D14" s="22" t="inlineStr">
        <is>
          <t>Move all uploads to obj_store</t>
        </is>
      </c>
      <c r="E14" s="22" t="inlineStr">
        <is>
          <t>Voice notes, meetings, ledger uploads write to local disk — lost on restart, invisible across replicas. Route everything through the existing obj_store path; delete the local /api/files path.</t>
        </is>
      </c>
      <c r="F14" s="36" t="inlineStr">
        <is>
          <t>P0</t>
        </is>
      </c>
      <c r="G14" s="103" t="inlineStr">
        <is>
          <t>Schema/Scale/Go-Live Review</t>
        </is>
      </c>
      <c r="H14" s="103" t="inlineStr">
        <is>
          <t>server.py:1739,1902,3032; ledger.py:146</t>
        </is>
      </c>
      <c r="I14" s="103" t="inlineStr">
        <is>
          <t>M</t>
        </is>
      </c>
      <c r="J14" s="104" t="inlineStr">
        <is>
          <t>Done</t>
        </is>
      </c>
      <c r="K14" s="103" t="inlineStr"/>
      <c r="L14" s="103" t="inlineStr">
        <is>
          <t>2026-08-09</t>
        </is>
      </c>
      <c r="M14" s="103" t="inlineStr">
        <is>
          <t>2026-08-09</t>
        </is>
      </c>
      <c r="N14" s="23" t="inlineStr">
        <is>
          <t>Yes</t>
        </is>
      </c>
      <c r="O14" s="22" t="inlineStr">
        <is>
          <t>Shipped in FIX-002-E ((this commit)).</t>
        </is>
      </c>
    </row>
    <row r="15" ht="32" customHeight="1">
      <c r="A15" s="103" t="inlineStr">
        <is>
          <t>S1-04</t>
        </is>
      </c>
      <c r="B15" s="39" t="inlineStr">
        <is>
          <t>Sprint 1</t>
        </is>
      </c>
      <c r="C15" s="103" t="inlineStr">
        <is>
          <t>Scale/Ops</t>
        </is>
      </c>
      <c r="D15" s="22" t="inlineStr">
        <is>
          <t>Commit real deployment config</t>
        </is>
      </c>
      <c r="E15" s="22" t="inlineStr">
        <is>
          <t>No Dockerfile/Procfile exists. Pin worker count, add graceful shutdown for in-flight LLM calls, request-size caps.</t>
        </is>
      </c>
      <c r="F15" s="36" t="inlineStr">
        <is>
          <t>P0</t>
        </is>
      </c>
      <c r="G15" s="103" t="inlineStr">
        <is>
          <t>Schema/Scale/Go-Live Review</t>
        </is>
      </c>
      <c r="H15" s="103" t="inlineStr">
        <is>
          <t>(missing — new file)</t>
        </is>
      </c>
      <c r="I15" s="103" t="inlineStr">
        <is>
          <t>M</t>
        </is>
      </c>
      <c r="J15" s="104" t="inlineStr">
        <is>
          <t>Done</t>
        </is>
      </c>
      <c r="K15" s="103" t="inlineStr"/>
      <c r="L15" s="103" t="inlineStr">
        <is>
          <t>2026-08-09</t>
        </is>
      </c>
      <c r="M15" s="103" t="inlineStr">
        <is>
          <t>2026-08-09</t>
        </is>
      </c>
      <c r="N15" s="23" t="inlineStr">
        <is>
          <t>Yes</t>
        </is>
      </c>
      <c r="O15" s="22" t="inlineStr"/>
    </row>
    <row r="16" ht="32" customHeight="1">
      <c r="A16" s="103" t="inlineStr">
        <is>
          <t>S1-05</t>
        </is>
      </c>
      <c r="B16" s="39" t="inlineStr">
        <is>
          <t>Sprint 1</t>
        </is>
      </c>
      <c r="C16" s="103" t="inlineStr">
        <is>
          <t>Scale/Ops</t>
        </is>
      </c>
      <c r="D16" s="22" t="inlineStr">
        <is>
          <t>Timeout + concurrency-limit LLM calls</t>
        </is>
      </c>
      <c r="E16" s="22" t="inlineStr">
        <is>
          <t>No asyncio.wait_for on LLM calls; one shared key across all tenants means a burst of voice-capture cascades 429s with no ceiling. Add timeout + semaphore.</t>
        </is>
      </c>
      <c r="F16" s="38" t="inlineStr">
        <is>
          <t>P1</t>
        </is>
      </c>
      <c r="G16" s="103" t="inlineStr">
        <is>
          <t>Schema/Scale/Go-Live Review</t>
        </is>
      </c>
      <c r="H16" s="103" t="inlineStr">
        <is>
          <t>core.py:177</t>
        </is>
      </c>
      <c r="I16" s="103" t="inlineStr">
        <is>
          <t>M</t>
        </is>
      </c>
      <c r="J16" s="104" t="inlineStr">
        <is>
          <t>Done</t>
        </is>
      </c>
      <c r="K16" s="103" t="inlineStr"/>
      <c r="L16" s="103" t="inlineStr">
        <is>
          <t>2026-08-09</t>
        </is>
      </c>
      <c r="M16" s="103" t="inlineStr">
        <is>
          <t>2026-08-09</t>
        </is>
      </c>
      <c r="N16" s="23" t="inlineStr">
        <is>
          <t>Yes</t>
        </is>
      </c>
      <c r="O16" s="22" t="inlineStr">
        <is>
          <t>Shipped in FIX-002-B (6b6fc25).</t>
        </is>
      </c>
    </row>
    <row r="17" ht="32" customHeight="1">
      <c r="A17" s="103" t="inlineStr">
        <is>
          <t>S1-06</t>
        </is>
      </c>
      <c r="B17" s="39" t="inlineStr">
        <is>
          <t>Sprint 1</t>
        </is>
      </c>
      <c r="C17" s="103" t="inlineStr">
        <is>
          <t>Scale/Ops</t>
        </is>
      </c>
      <c r="D17" s="22" t="inlineStr">
        <is>
          <t>Fix hardcoded purchase_payment key</t>
        </is>
      </c>
      <c r="E17" s="22" t="inlineStr">
        <is>
          <t>Owner-approval loop, pending-purchases dashboard, and payment-overdue alerts only recognize the textile pipeline key. Non-textile tenants silently lose their sign-off + payment tracking.</t>
        </is>
      </c>
      <c r="F17" s="36" t="inlineStr">
        <is>
          <t>P0</t>
        </is>
      </c>
      <c r="G17" s="103" t="inlineStr">
        <is>
          <t>Schema/Scale/Go-Live Review</t>
        </is>
      </c>
      <c r="H17" s="103" t="inlineStr">
        <is>
          <t>routers/decisions.py:166; server.py:2429; routers/brief.py:95,98,238,262</t>
        </is>
      </c>
      <c r="I17" s="103" t="inlineStr">
        <is>
          <t>M</t>
        </is>
      </c>
      <c r="J17" s="104" t="inlineStr">
        <is>
          <t>Done</t>
        </is>
      </c>
      <c r="K17" s="103" t="inlineStr"/>
      <c r="L17" s="103" t="inlineStr">
        <is>
          <t>2026-08-04</t>
        </is>
      </c>
      <c r="M17" s="103" t="inlineStr">
        <is>
          <t>2026-08-04</t>
        </is>
      </c>
      <c r="N17" s="23" t="inlineStr">
        <is>
          <t>Yes</t>
        </is>
      </c>
      <c r="O17" s="22" t="inlineStr">
        <is>
          <t>Shipped in FIX-001-A (cb84474+69f4ce3).</t>
        </is>
      </c>
    </row>
    <row r="18" ht="32" customHeight="1">
      <c r="A18" s="103" t="inlineStr">
        <is>
          <t>S2-01</t>
        </is>
      </c>
      <c r="B18" s="40" t="inlineStr">
        <is>
          <t>Sprint 2</t>
        </is>
      </c>
      <c r="C18" s="103" t="inlineStr">
        <is>
          <t>Tenancy/Data</t>
        </is>
      </c>
      <c r="D18" s="22" t="inlineStr">
        <is>
          <t>Add _ensure_owned() helper</t>
        </is>
      </c>
      <c r="E18" s="22" t="inlineStr">
        <is>
          <t>Many update_one/delete_* calls filter by {'id': X} only after an earlier tenant-scoped read. UUID makes it safe today but drift/leak risk. Centralize the pattern.</t>
        </is>
      </c>
      <c r="F18" s="38" t="inlineStr">
        <is>
          <t>P1</t>
        </is>
      </c>
      <c r="G18" s="103" t="inlineStr">
        <is>
          <t>SaaS Readiness Review</t>
        </is>
      </c>
      <c r="H18" s="103" t="inlineStr">
        <is>
          <t>routers/tasks.py:317,360,395; decisions.py:144-227; brain_docs.py:320,329; ledger.py:585,638,684</t>
        </is>
      </c>
      <c r="I18" s="103" t="inlineStr">
        <is>
          <t>M</t>
        </is>
      </c>
      <c r="J18" s="104" t="inlineStr">
        <is>
          <t>Done</t>
        </is>
      </c>
      <c r="K18" s="103" t="inlineStr"/>
      <c r="L18" s="103" t="inlineStr">
        <is>
          <t>2026-08-09</t>
        </is>
      </c>
      <c r="M18" s="103" t="inlineStr">
        <is>
          <t>2026-08-09</t>
        </is>
      </c>
      <c r="N18" s="41" t="inlineStr">
        <is>
          <t>No</t>
        </is>
      </c>
      <c r="O18" s="22" t="inlineStr">
        <is>
          <t>Shipped in FIX-001-C (da29cfd).</t>
        </is>
      </c>
    </row>
    <row r="19" ht="32" customHeight="1">
      <c r="A19" s="103" t="inlineStr">
        <is>
          <t>S2-02</t>
        </is>
      </c>
      <c r="B19" s="40" t="inlineStr">
        <is>
          <t>Sprint 2</t>
        </is>
      </c>
      <c r="C19" s="103" t="inlineStr">
        <is>
          <t>Tenancy/Data</t>
        </is>
      </c>
      <c r="D19" s="22" t="inlineStr">
        <is>
          <t>Complete TENANT_COLLECTIONS wipe</t>
        </is>
      </c>
      <c r="E19" s="22" t="inlineStr">
        <is>
          <t>Tenant deletion omits brain_context, brain_documents, capture_drafts, platform_alerts, reclassify_jobs, signup_sessions, and never deletes uploaded files. GDPR gap.</t>
        </is>
      </c>
      <c r="F19" s="38" t="inlineStr">
        <is>
          <t>P1</t>
        </is>
      </c>
      <c r="G19" s="103" t="inlineStr">
        <is>
          <t>SaaS Readiness Review</t>
        </is>
      </c>
      <c r="H19" s="103" t="inlineStr">
        <is>
          <t>routers/admin.py:161-186</t>
        </is>
      </c>
      <c r="I19" s="103" t="inlineStr">
        <is>
          <t>S</t>
        </is>
      </c>
      <c r="J19" s="104" t="inlineStr">
        <is>
          <t>Done</t>
        </is>
      </c>
      <c r="K19" s="103" t="inlineStr"/>
      <c r="L19" s="103" t="inlineStr">
        <is>
          <t>2026-08-04</t>
        </is>
      </c>
      <c r="M19" s="103" t="inlineStr">
        <is>
          <t>2026-08-04</t>
        </is>
      </c>
      <c r="N19" s="41" t="inlineStr">
        <is>
          <t>No</t>
        </is>
      </c>
      <c r="O19" s="22" t="inlineStr">
        <is>
          <t>Shipped in FIX-001-E (65cea2c).</t>
        </is>
      </c>
    </row>
    <row r="20" ht="32" customHeight="1">
      <c r="A20" s="103" t="inlineStr">
        <is>
          <t>S2-03</t>
        </is>
      </c>
      <c r="B20" s="40" t="inlineStr">
        <is>
          <t>Sprint 2</t>
        </is>
      </c>
      <c r="C20" s="103" t="inlineStr">
        <is>
          <t>Tenancy/Data</t>
        </is>
      </c>
      <c r="D20" s="22" t="inlineStr">
        <is>
          <t>Tenant-scope OTP + WhatsApp phone routing</t>
        </is>
      </c>
      <c r="E20" s="22" t="inlineStr">
        <is>
          <t>Two users in different tenants sharing a phone can log into the wrong workspace, or hijack another tenant's inbound WhatsApp.</t>
        </is>
      </c>
      <c r="F20" s="36" t="inlineStr">
        <is>
          <t>P0</t>
        </is>
      </c>
      <c r="G20" s="103" t="inlineStr">
        <is>
          <t>Schema/Scale/Go-Live Review</t>
        </is>
      </c>
      <c r="H20" s="103" t="inlineStr">
        <is>
          <t>server.py:1418-1428,1357; 3999-4028</t>
        </is>
      </c>
      <c r="I20" s="103" t="inlineStr">
        <is>
          <t>M</t>
        </is>
      </c>
      <c r="J20" s="104" t="inlineStr">
        <is>
          <t>Done</t>
        </is>
      </c>
      <c r="K20" s="103" t="inlineStr"/>
      <c r="L20" s="103" t="inlineStr">
        <is>
          <t>2026-08-09</t>
        </is>
      </c>
      <c r="M20" s="103" t="inlineStr">
        <is>
          <t>2026-08-09</t>
        </is>
      </c>
      <c r="N20" s="23" t="inlineStr">
        <is>
          <t>Yes</t>
        </is>
      </c>
      <c r="O20" s="22" t="inlineStr">
        <is>
          <t>Shipped in FIX-003-A (6a1ecec).</t>
        </is>
      </c>
    </row>
    <row r="21" ht="32" customHeight="1">
      <c r="A21" s="103" t="inlineStr">
        <is>
          <t>S2-04</t>
        </is>
      </c>
      <c r="B21" s="40" t="inlineStr">
        <is>
          <t>Sprint 2</t>
        </is>
      </c>
      <c r="C21" s="103" t="inlineStr">
        <is>
          <t>Tenancy/Data</t>
        </is>
      </c>
      <c r="D21" s="22" t="inlineStr">
        <is>
          <t>Fix cross-tenant WhatsApp log leak</t>
        </is>
      </c>
      <c r="E21" s="22" t="inlineStr">
        <is>
          <t>whatsapp/logs OR-includes tenant_id:None rows, visible to every tenant owner.</t>
        </is>
      </c>
      <c r="F21" s="38" t="inlineStr">
        <is>
          <t>P1</t>
        </is>
      </c>
      <c r="G21" s="103" t="inlineStr">
        <is>
          <t>SaaS Readiness Review</t>
        </is>
      </c>
      <c r="H21" s="103" t="inlineStr">
        <is>
          <t>server.py:3993-3995</t>
        </is>
      </c>
      <c r="I21" s="103" t="inlineStr">
        <is>
          <t>S</t>
        </is>
      </c>
      <c r="J21" s="104" t="inlineStr">
        <is>
          <t>Done</t>
        </is>
      </c>
      <c r="K21" s="103" t="inlineStr"/>
      <c r="L21" s="103" t="inlineStr">
        <is>
          <t>2026-08-09</t>
        </is>
      </c>
      <c r="M21" s="103" t="inlineStr">
        <is>
          <t>2026-08-09</t>
        </is>
      </c>
      <c r="N21" s="41" t="inlineStr">
        <is>
          <t>No</t>
        </is>
      </c>
      <c r="O21" s="22" t="inlineStr">
        <is>
          <t>Shipped in FIX-003-A (6a1ecec).</t>
        </is>
      </c>
    </row>
    <row r="22" ht="32" customHeight="1">
      <c r="A22" s="103" t="inlineStr">
        <is>
          <t>S2-05</t>
        </is>
      </c>
      <c r="B22" s="40" t="inlineStr">
        <is>
          <t>Sprint 2</t>
        </is>
      </c>
      <c r="C22" s="103" t="inlineStr">
        <is>
          <t>Tenancy/Data</t>
        </is>
      </c>
      <c r="D22" s="22" t="inlineStr">
        <is>
          <t>Fix unfiltered enrich_decisions fetch</t>
        </is>
      </c>
      <c r="E22" s="22" t="inlineStr">
        <is>
          <t>Related tasks/users fetched with no tenant filter; safe only because task_ids can't currently contain a foreign UUID.</t>
        </is>
      </c>
      <c r="F22" s="42" t="inlineStr">
        <is>
          <t>P2</t>
        </is>
      </c>
      <c r="G22" s="103" t="inlineStr">
        <is>
          <t>SaaS Readiness Review</t>
        </is>
      </c>
      <c r="H22" s="103" t="inlineStr">
        <is>
          <t>server.py:2142-2158; routers/decisions.py:44,172-175</t>
        </is>
      </c>
      <c r="I22" s="103" t="inlineStr">
        <is>
          <t>S</t>
        </is>
      </c>
      <c r="J22" s="104" t="inlineStr">
        <is>
          <t>Done</t>
        </is>
      </c>
      <c r="K22" s="103" t="inlineStr"/>
      <c r="L22" s="103" t="inlineStr">
        <is>
          <t>2026-08-10</t>
        </is>
      </c>
      <c r="M22" s="103" t="inlineStr">
        <is>
          <t>2026-08-10</t>
        </is>
      </c>
      <c r="N22" s="41" t="inlineStr">
        <is>
          <t>No</t>
        </is>
      </c>
      <c r="O22" s="22" t="inlineStr">
        <is>
          <t>Shipped in FIX-003-B (f18bbc3).</t>
        </is>
      </c>
    </row>
    <row r="23" ht="32" customHeight="1">
      <c r="A23" s="103" t="inlineStr">
        <is>
          <t>S2-06</t>
        </is>
      </c>
      <c r="B23" s="40" t="inlineStr">
        <is>
          <t>Sprint 2</t>
        </is>
      </c>
      <c r="C23" s="103" t="inlineStr">
        <is>
          <t>Tenancy/Data</t>
        </is>
      </c>
      <c r="D23" s="22" t="inlineStr">
        <is>
          <t>Add session invalidation on logout/password-change</t>
        </is>
      </c>
      <c r="E23" s="22" t="inlineStr">
        <is>
          <t>JWT stays valid 7 days after logout; no jti/token-version, so a stolen session can't be revoked.</t>
        </is>
      </c>
      <c r="F23" s="38" t="inlineStr">
        <is>
          <t>P1</t>
        </is>
      </c>
      <c r="G23" s="103" t="inlineStr">
        <is>
          <t>SaaS Readiness Review</t>
        </is>
      </c>
      <c r="H23" s="103" t="inlineStr">
        <is>
          <t>core.py:225-226</t>
        </is>
      </c>
      <c r="I23" s="103" t="inlineStr">
        <is>
          <t>M</t>
        </is>
      </c>
      <c r="J23" s="104" t="inlineStr">
        <is>
          <t>Done</t>
        </is>
      </c>
      <c r="K23" s="103" t="inlineStr"/>
      <c r="L23" s="103" t="inlineStr">
        <is>
          <t>2026-08-10</t>
        </is>
      </c>
      <c r="M23" s="103" t="inlineStr">
        <is>
          <t>2026-08-10</t>
        </is>
      </c>
      <c r="N23" s="41" t="inlineStr">
        <is>
          <t>No</t>
        </is>
      </c>
      <c r="O23" s="22" t="inlineStr">
        <is>
          <t xml:space="preserve">Shipped in FIX-003-C (f48bd24). </t>
        </is>
      </c>
    </row>
    <row r="24" ht="32" customHeight="1">
      <c r="A24" s="103" t="inlineStr">
        <is>
          <t>S2-07</t>
        </is>
      </c>
      <c r="B24" s="40" t="inlineStr">
        <is>
          <t>Sprint 2</t>
        </is>
      </c>
      <c r="C24" s="103" t="inlineStr">
        <is>
          <t>Tenancy/Data</t>
        </is>
      </c>
      <c r="D24" s="22" t="inlineStr">
        <is>
          <t>Add email verification + password reset</t>
        </is>
      </c>
      <c r="E24" s="22" t="inlineStr">
        <is>
          <t>No self-serve recovery flow exists anywhere; enterprise-deal blocker.</t>
        </is>
      </c>
      <c r="F24" s="38" t="inlineStr">
        <is>
          <t>P1</t>
        </is>
      </c>
      <c r="G24" s="103" t="inlineStr">
        <is>
          <t>SaaS Readiness Review</t>
        </is>
      </c>
      <c r="H24" s="103" t="inlineStr">
        <is>
          <t>routers/auth.py</t>
        </is>
      </c>
      <c r="I24" s="103" t="inlineStr">
        <is>
          <t>M</t>
        </is>
      </c>
      <c r="J24" s="104" t="inlineStr">
        <is>
          <t>Done</t>
        </is>
      </c>
      <c r="K24" s="103" t="inlineStr"/>
      <c r="L24" s="103" t="inlineStr">
        <is>
          <t>2026-08-10</t>
        </is>
      </c>
      <c r="M24" s="103" t="inlineStr">
        <is>
          <t>2026-08-10</t>
        </is>
      </c>
      <c r="N24" s="41" t="inlineStr">
        <is>
          <t>No</t>
        </is>
      </c>
      <c r="O24" s="22" t="inlineStr">
        <is>
          <t xml:space="preserve">Shipped in FIX-003-D (4ef865e). </t>
        </is>
      </c>
    </row>
    <row r="25" ht="32" customHeight="1">
      <c r="A25" s="103" t="inlineStr">
        <is>
          <t>S2-08</t>
        </is>
      </c>
      <c r="B25" s="40" t="inlineStr">
        <is>
          <t>Sprint 2</t>
        </is>
      </c>
      <c r="C25" s="103" t="inlineStr">
        <is>
          <t>Tenancy/Data</t>
        </is>
      </c>
      <c r="D25" s="22" t="inlineStr">
        <is>
          <t>Fix dead contacts.kind index</t>
        </is>
      </c>
      <c r="E25" s="22" t="inlineStr">
        <is>
          <t>Index uses 'kind', every read/write uses 'type'. Index (tenant_id, type) instead.</t>
        </is>
      </c>
      <c r="F25" s="38" t="inlineStr">
        <is>
          <t>P1</t>
        </is>
      </c>
      <c r="G25" s="103" t="inlineStr">
        <is>
          <t>Schema/Scale/Go-Live Review</t>
        </is>
      </c>
      <c r="H25" s="103" t="inlineStr">
        <is>
          <t>server.py:4865</t>
        </is>
      </c>
      <c r="I25" s="103" t="inlineStr">
        <is>
          <t>S</t>
        </is>
      </c>
      <c r="J25" s="104" t="inlineStr">
        <is>
          <t>Done</t>
        </is>
      </c>
      <c r="K25" s="103" t="inlineStr"/>
      <c r="L25" s="103" t="inlineStr">
        <is>
          <t>2026-08-10</t>
        </is>
      </c>
      <c r="M25" s="103" t="inlineStr">
        <is>
          <t>2026-08-10</t>
        </is>
      </c>
      <c r="N25" s="41" t="inlineStr">
        <is>
          <t>No</t>
        </is>
      </c>
      <c r="O25" s="22" t="inlineStr">
        <is>
          <t>Shipped in FIX-003-B (f18bbc3).</t>
        </is>
      </c>
    </row>
    <row r="26" ht="32" customHeight="1">
      <c r="A26" s="103" t="inlineStr">
        <is>
          <t>S2-09</t>
        </is>
      </c>
      <c r="B26" s="40" t="inlineStr">
        <is>
          <t>Sprint 2</t>
        </is>
      </c>
      <c r="C26" s="103" t="inlineStr">
        <is>
          <t>Tenancy/Data</t>
        </is>
      </c>
      <c r="D26" s="22" t="inlineStr">
        <is>
          <t>Fix denormalized-name staleness</t>
        </is>
      </c>
      <c r="E26" s="22" t="inlineStr">
        <is>
          <t>assignee_role / contact_name copies go stale on rename and are shown to users. Add refresh-on-rename.</t>
        </is>
      </c>
      <c r="F26" s="42" t="inlineStr">
        <is>
          <t>P2</t>
        </is>
      </c>
      <c r="G26" s="103" t="inlineStr">
        <is>
          <t>Schema/Scale/Go-Live Review</t>
        </is>
      </c>
      <c r="H26" s="103" t="inlineStr">
        <is>
          <t>routers/tasks.py; server.py:3326</t>
        </is>
      </c>
      <c r="I26" s="103" t="inlineStr">
        <is>
          <t>S</t>
        </is>
      </c>
      <c r="J26" s="104" t="inlineStr">
        <is>
          <t>Done</t>
        </is>
      </c>
      <c r="K26" s="103" t="inlineStr"/>
      <c r="L26" s="103" t="inlineStr">
        <is>
          <t>2026-08-10</t>
        </is>
      </c>
      <c r="M26" s="103" t="inlineStr">
        <is>
          <t>2026-08-10</t>
        </is>
      </c>
      <c r="N26" s="41" t="inlineStr">
        <is>
          <t>No</t>
        </is>
      </c>
      <c r="O26" s="22" t="inlineStr">
        <is>
          <t xml:space="preserve">Shipped in FIX-003-C (f48bd24). </t>
        </is>
      </c>
    </row>
    <row r="27" ht="32" customHeight="1">
      <c r="A27" s="103" t="inlineStr">
        <is>
          <t>S2-10</t>
        </is>
      </c>
      <c r="B27" s="40" t="inlineStr">
        <is>
          <t>Sprint 2</t>
        </is>
      </c>
      <c r="C27" s="103" t="inlineStr">
        <is>
          <t>Tenancy/Data</t>
        </is>
      </c>
      <c r="D27" s="22" t="inlineStr">
        <is>
          <t>Handle concurrent-registration race</t>
        </is>
      </c>
      <c r="E27" s="22" t="inlineStr">
        <is>
          <t>Same-email concurrent registers can race past the pre-check and hit the unique index, throwing a raw 500 instead of a clean 400.</t>
        </is>
      </c>
      <c r="F27" s="42" t="inlineStr">
        <is>
          <t>P2</t>
        </is>
      </c>
      <c r="G27" s="103" t="inlineStr">
        <is>
          <t>Schema/Scale/Go-Live Review</t>
        </is>
      </c>
      <c r="H27" s="103" t="inlineStr">
        <is>
          <t>routers/auth.py:92-93</t>
        </is>
      </c>
      <c r="I27" s="103" t="inlineStr">
        <is>
          <t>S</t>
        </is>
      </c>
      <c r="J27" s="104" t="inlineStr">
        <is>
          <t>Done</t>
        </is>
      </c>
      <c r="K27" s="103" t="inlineStr"/>
      <c r="L27" s="103" t="inlineStr">
        <is>
          <t>2026-08-10</t>
        </is>
      </c>
      <c r="M27" s="103" t="inlineStr">
        <is>
          <t>2026-08-10</t>
        </is>
      </c>
      <c r="N27" s="41" t="inlineStr">
        <is>
          <t>No</t>
        </is>
      </c>
      <c r="O27" s="22" t="inlineStr">
        <is>
          <t>Shipped in FIX-003-B (f18bbc3).</t>
        </is>
      </c>
    </row>
    <row r="28" ht="32" customHeight="1">
      <c r="A28" s="103" t="inlineStr">
        <is>
          <t>S2-11</t>
        </is>
      </c>
      <c r="B28" s="40" t="inlineStr">
        <is>
          <t>Sprint 2</t>
        </is>
      </c>
      <c r="C28" s="103" t="inlineStr">
        <is>
          <t>Tenancy/Data</t>
        </is>
      </c>
      <c r="D28" s="22" t="inlineStr">
        <is>
          <t>Flag AI-operating-model generation failures</t>
        </is>
      </c>
      <c r="E28" s="22" t="inlineStr">
        <is>
          <t>Malformed/timed-out AI response silently falls back to the textile default model with zero error shown to the tenant.</t>
        </is>
      </c>
      <c r="F28" s="38" t="inlineStr">
        <is>
          <t>P1</t>
        </is>
      </c>
      <c r="G28" s="103" t="inlineStr">
        <is>
          <t>Schema/Scale/Go-Live Review</t>
        </is>
      </c>
      <c r="H28" s="103" t="inlineStr">
        <is>
          <t>server.py:1154-1160</t>
        </is>
      </c>
      <c r="I28" s="103" t="inlineStr">
        <is>
          <t>S</t>
        </is>
      </c>
      <c r="J28" s="104" t="inlineStr">
        <is>
          <t>Done</t>
        </is>
      </c>
      <c r="K28" s="103" t="inlineStr"/>
      <c r="L28" s="103" t="inlineStr">
        <is>
          <t>2026-08-10</t>
        </is>
      </c>
      <c r="M28" s="103" t="inlineStr">
        <is>
          <t>2026-08-10</t>
        </is>
      </c>
      <c r="N28" s="41" t="inlineStr">
        <is>
          <t>No</t>
        </is>
      </c>
      <c r="O28" s="22" t="inlineStr">
        <is>
          <t xml:space="preserve">Shipped in FIX-003-C (f48bd24). </t>
        </is>
      </c>
    </row>
    <row r="29" ht="32" customHeight="1">
      <c r="A29" s="103" t="inlineStr">
        <is>
          <t>S2-12</t>
        </is>
      </c>
      <c r="B29" s="40" t="inlineStr">
        <is>
          <t>Sprint 2</t>
        </is>
      </c>
      <c r="C29" s="103" t="inlineStr">
        <is>
          <t>Tenancy/Data</t>
        </is>
      </c>
      <c r="D29" s="22" t="inlineStr">
        <is>
          <t>Fix 'active workflows' hardcoded terminal stages</t>
        </is>
      </c>
      <c r="E29" s="22" t="inlineStr">
        <is>
          <t>KPI checks stage NOT IN [delivered, paid] — non-textile terminal stages never match, so the count only ever climbs.</t>
        </is>
      </c>
      <c r="F29" s="42" t="inlineStr">
        <is>
          <t>P2</t>
        </is>
      </c>
      <c r="G29" s="103" t="inlineStr">
        <is>
          <t>Schema/Scale/Go-Live Review</t>
        </is>
      </c>
      <c r="H29" s="103" t="inlineStr">
        <is>
          <t>server.py:2433</t>
        </is>
      </c>
      <c r="I29" s="103" t="inlineStr">
        <is>
          <t>S</t>
        </is>
      </c>
      <c r="J29" s="104" t="inlineStr">
        <is>
          <t>Done</t>
        </is>
      </c>
      <c r="K29" s="103" t="inlineStr"/>
      <c r="L29" s="103" t="inlineStr">
        <is>
          <t>2026-08-10</t>
        </is>
      </c>
      <c r="M29" s="103" t="inlineStr">
        <is>
          <t>2026-08-10</t>
        </is>
      </c>
      <c r="N29" s="41" t="inlineStr">
        <is>
          <t>No</t>
        </is>
      </c>
      <c r="O29" s="22" t="inlineStr">
        <is>
          <t>Already closed by FIX-001-F; regression-guarded in FIX-003-B.</t>
        </is>
      </c>
    </row>
    <row r="30" ht="32" customHeight="1">
      <c r="A30" s="103" t="inlineStr">
        <is>
          <t>S3-01</t>
        </is>
      </c>
      <c r="B30" s="43" t="inlineStr">
        <is>
          <t>Sprint 3</t>
        </is>
      </c>
      <c r="C30" s="103" t="inlineStr">
        <is>
          <t>Billing/AI-Keys</t>
        </is>
      </c>
      <c r="D30" s="22" t="inlineStr">
        <is>
          <t>Integrate real billing (Stripe or Razorpay)</t>
        </is>
      </c>
      <c r="E30" s="22" t="inlineStr">
        <is>
          <t>stripe is in requirements.txt but never imported. No subscription billing exists at all today.</t>
        </is>
      </c>
      <c r="F30" s="36" t="inlineStr">
        <is>
          <t>P0</t>
        </is>
      </c>
      <c r="G30" s="103" t="inlineStr">
        <is>
          <t>SaaS Readiness Review</t>
        </is>
      </c>
      <c r="H30" s="103" t="inlineStr">
        <is>
          <t>requirements.txt:129</t>
        </is>
      </c>
      <c r="I30" s="103" t="inlineStr">
        <is>
          <t>L</t>
        </is>
      </c>
      <c r="J30" s="37" t="inlineStr">
        <is>
          <t>Backlog</t>
        </is>
      </c>
      <c r="K30" s="103" t="inlineStr"/>
      <c r="L30" s="103" t="inlineStr"/>
      <c r="M30" s="103" t="inlineStr"/>
      <c r="N30" s="23" t="inlineStr">
        <is>
          <t>Yes</t>
        </is>
      </c>
      <c r="O30" s="22" t="inlineStr"/>
    </row>
    <row r="31" ht="32" customHeight="1">
      <c r="A31" s="103" t="inlineStr">
        <is>
          <t>S3-02</t>
        </is>
      </c>
      <c r="B31" s="43" t="inlineStr">
        <is>
          <t>Sprint 3</t>
        </is>
      </c>
      <c r="C31" s="103" t="inlineStr">
        <is>
          <t>Billing/AI-Keys</t>
        </is>
      </c>
      <c r="D31" s="22" t="inlineStr">
        <is>
          <t>Add plan / entitlement fields to tenant doc</t>
        </is>
      </c>
      <c r="E31" s="22" t="inlineStr">
        <is>
          <t>No plan, trial_ends_at, seat_limit, or feature_flags — every tenant is on unlimited free forever.</t>
        </is>
      </c>
      <c r="F31" s="38" t="inlineStr">
        <is>
          <t>P1</t>
        </is>
      </c>
      <c r="G31" s="103" t="inlineStr">
        <is>
          <t>SaaS Readiness Review</t>
        </is>
      </c>
      <c r="H31" s="103" t="inlineStr">
        <is>
          <t>tenant document schema</t>
        </is>
      </c>
      <c r="I31" s="103" t="inlineStr">
        <is>
          <t>M</t>
        </is>
      </c>
      <c r="J31" s="104" t="inlineStr">
        <is>
          <t>Done</t>
        </is>
      </c>
      <c r="K31" s="103" t="inlineStr"/>
      <c r="L31" s="103" t="inlineStr">
        <is>
          <t>2026-08-10</t>
        </is>
      </c>
      <c r="M31" s="103" t="inlineStr">
        <is>
          <t>2026-08-10</t>
        </is>
      </c>
      <c r="N31" s="23" t="inlineStr">
        <is>
          <t>Yes</t>
        </is>
      </c>
      <c r="O31" s="22" t="inlineStr">
        <is>
          <t xml:space="preserve">Shipped in FIX-005-A (afbf9b8). </t>
        </is>
      </c>
    </row>
    <row r="32" ht="32" customHeight="1">
      <c r="A32" s="103" t="inlineStr">
        <is>
          <t>S3-03</t>
        </is>
      </c>
      <c r="B32" s="43" t="inlineStr">
        <is>
          <t>Sprint 3</t>
        </is>
      </c>
      <c r="C32" s="103" t="inlineStr">
        <is>
          <t>Billing/AI-Keys</t>
        </is>
      </c>
      <c r="D32" s="22" t="inlineStr">
        <is>
          <t>Per-tenant AI key resolver</t>
        </is>
      </c>
      <c r="E32" s="22" t="inlineStr">
        <is>
          <t>All AI keys are one global pool shared by every tenant; one rate-limited/leaked key breaks 100% of tenants. Add per-tenant key columns + fallback resolver.</t>
        </is>
      </c>
      <c r="F32" s="36" t="inlineStr">
        <is>
          <t>P0</t>
        </is>
      </c>
      <c r="G32" s="103" t="inlineStr">
        <is>
          <t>SaaS Readiness Review</t>
        </is>
      </c>
      <c r="H32" s="103" t="inlineStr">
        <is>
          <t>config.py:53-60; core.py:177-205; routers/admin.py:335-348</t>
        </is>
      </c>
      <c r="I32" s="103" t="inlineStr">
        <is>
          <t>L</t>
        </is>
      </c>
      <c r="J32" s="104" t="inlineStr">
        <is>
          <t>Done</t>
        </is>
      </c>
      <c r="K32" s="103" t="inlineStr"/>
      <c r="L32" s="103" t="inlineStr">
        <is>
          <t>2026-08-10</t>
        </is>
      </c>
      <c r="M32" s="103" t="inlineStr">
        <is>
          <t>2026-08-10</t>
        </is>
      </c>
      <c r="N32" s="23" t="inlineStr">
        <is>
          <t>Yes</t>
        </is>
      </c>
      <c r="O32" s="22" t="inlineStr">
        <is>
          <t xml:space="preserve">Shipped in FIX-005-A (afbf9b8). </t>
        </is>
      </c>
    </row>
    <row r="33" ht="32" customHeight="1">
      <c r="A33" s="103" t="inlineStr">
        <is>
          <t>S3-04</t>
        </is>
      </c>
      <c r="B33" s="43" t="inlineStr">
        <is>
          <t>Sprint 3</t>
        </is>
      </c>
      <c r="C33" s="103" t="inlineStr">
        <is>
          <t>Billing/AI-Keys</t>
        </is>
      </c>
      <c r="D33" s="22" t="inlineStr">
        <is>
          <t>Enforce usage quotas (402 on exceed)</t>
        </is>
      </c>
      <c r="E33" s="22" t="inlineStr">
        <is>
          <t>Usage telemetry is estimation-only; no hard limit stops a tenant from running up unlimited LLM cost.</t>
        </is>
      </c>
      <c r="F33" s="38" t="inlineStr">
        <is>
          <t>P1</t>
        </is>
      </c>
      <c r="G33" s="103" t="inlineStr">
        <is>
          <t>SaaS Readiness Review</t>
        </is>
      </c>
      <c r="H33" s="103" t="inlineStr">
        <is>
          <t>services/usage.py</t>
        </is>
      </c>
      <c r="I33" s="103" t="inlineStr">
        <is>
          <t>M</t>
        </is>
      </c>
      <c r="J33" s="104" t="inlineStr">
        <is>
          <t>Done</t>
        </is>
      </c>
      <c r="K33" s="103" t="inlineStr"/>
      <c r="L33" s="103" t="inlineStr">
        <is>
          <t>2026-08-10</t>
        </is>
      </c>
      <c r="M33" s="103" t="inlineStr">
        <is>
          <t>2026-08-10</t>
        </is>
      </c>
      <c r="N33" s="23" t="inlineStr">
        <is>
          <t>Yes</t>
        </is>
      </c>
      <c r="O33" s="22" t="inlineStr">
        <is>
          <t xml:space="preserve">Shipped in FIX-005-B (29d2238). </t>
        </is>
      </c>
    </row>
    <row r="34" ht="32" customHeight="1">
      <c r="A34" s="103" t="inlineStr">
        <is>
          <t>S4-01</t>
        </is>
      </c>
      <c r="B34" s="44" t="inlineStr">
        <is>
          <t>Sprint 4</t>
        </is>
      </c>
      <c r="C34" s="103" t="inlineStr">
        <is>
          <t>AI/Brain</t>
        </is>
      </c>
      <c r="D34" s="22" t="inlineStr">
        <is>
          <t>Fix text-index stemming + index db.memory</t>
        </is>
      </c>
      <c r="E34" s="22" t="inlineStr">
        <is>
          <t>default_language='none' disables stemming (refund != refunds); db.memory has no text index at all, only regex scan.</t>
        </is>
      </c>
      <c r="F34" s="42" t="inlineStr">
        <is>
          <t>P2</t>
        </is>
      </c>
      <c r="G34" s="103" t="inlineStr">
        <is>
          <t>AI/Brain/Agentic Review</t>
        </is>
      </c>
      <c r="H34" s="103" t="inlineStr">
        <is>
          <t>server.py:4894; brain.py:250-255</t>
        </is>
      </c>
      <c r="I34" s="103" t="inlineStr">
        <is>
          <t>S</t>
        </is>
      </c>
      <c r="J34" s="37" t="inlineStr">
        <is>
          <t>Backlog</t>
        </is>
      </c>
      <c r="K34" s="103" t="inlineStr"/>
      <c r="L34" s="103" t="inlineStr"/>
      <c r="M34" s="103" t="inlineStr"/>
      <c r="N34" s="41" t="inlineStr">
        <is>
          <t>No</t>
        </is>
      </c>
      <c r="O34" s="22" t="inlineStr"/>
    </row>
    <row r="35" ht="32" customHeight="1">
      <c r="A35" s="103" t="inlineStr">
        <is>
          <t>S4-02</t>
        </is>
      </c>
      <c r="B35" s="44" t="inlineStr">
        <is>
          <t>Sprint 4</t>
        </is>
      </c>
      <c r="C35" s="103" t="inlineStr">
        <is>
          <t>AI/Brain</t>
        </is>
      </c>
      <c r="D35" s="22" t="inlineStr">
        <is>
          <t>Fix task-done Brain write-coverage gap + link provenance</t>
        </is>
      </c>
      <c r="E35" s="22" t="inlineStr">
        <is>
          <t>Execution-plan-complete path skips record_context; add decision_id linkage so decision-&gt;task-&gt;outcome is reconstructable.</t>
        </is>
      </c>
      <c r="F35" s="38" t="inlineStr">
        <is>
          <t>P1</t>
        </is>
      </c>
      <c r="G35" s="103" t="inlineStr">
        <is>
          <t>AI/Brain/Agentic Review</t>
        </is>
      </c>
      <c r="H35" s="103" t="inlineStr">
        <is>
          <t>tasks.py:507; services/brain_context.py</t>
        </is>
      </c>
      <c r="I35" s="103" t="inlineStr">
        <is>
          <t>M</t>
        </is>
      </c>
      <c r="J35" s="37" t="inlineStr">
        <is>
          <t>Backlog</t>
        </is>
      </c>
      <c r="K35" s="103" t="inlineStr"/>
      <c r="L35" s="103" t="inlineStr"/>
      <c r="M35" s="103" t="inlineStr"/>
      <c r="N35" s="41" t="inlineStr">
        <is>
          <t>No</t>
        </is>
      </c>
      <c r="O35" s="22" t="inlineStr"/>
    </row>
    <row r="36" ht="32" customHeight="1">
      <c r="A36" s="103" t="inlineStr">
        <is>
          <t>S4-03</t>
        </is>
      </c>
      <c r="B36" s="44" t="inlineStr">
        <is>
          <t>Sprint 4</t>
        </is>
      </c>
      <c r="C36" s="103" t="inlineStr">
        <is>
          <t>AI/Brain</t>
        </is>
      </c>
      <c r="D36" s="22" t="inlineStr">
        <is>
          <t>Rename brain_contexts -&gt; brain_query_cache</t>
        </is>
      </c>
      <c r="E36" s="22" t="inlineStr">
        <is>
          <t>Kills the dangerous brain_context / brain_contexts name collision.</t>
        </is>
      </c>
      <c r="F36" s="42" t="inlineStr">
        <is>
          <t>P2</t>
        </is>
      </c>
      <c r="G36" s="103" t="inlineStr">
        <is>
          <t>AI/Brain/Agentic Review</t>
        </is>
      </c>
      <c r="H36" s="103" t="inlineStr">
        <is>
          <t>brain.py:714,752,794</t>
        </is>
      </c>
      <c r="I36" s="103" t="inlineStr">
        <is>
          <t>S</t>
        </is>
      </c>
      <c r="J36" s="37" t="inlineStr">
        <is>
          <t>Backlog</t>
        </is>
      </c>
      <c r="K36" s="103" t="inlineStr"/>
      <c r="L36" s="103" t="inlineStr"/>
      <c r="M36" s="103" t="inlineStr"/>
      <c r="N36" s="41" t="inlineStr">
        <is>
          <t>No</t>
        </is>
      </c>
      <c r="O36" s="22" t="inlineStr"/>
    </row>
    <row r="37" ht="32" customHeight="1">
      <c r="A37" s="103" t="inlineStr">
        <is>
          <t>S4-04</t>
        </is>
      </c>
      <c r="B37" s="44" t="inlineStr">
        <is>
          <t>Sprint 4</t>
        </is>
      </c>
      <c r="C37" s="103" t="inlineStr">
        <is>
          <t>AI/Brain</t>
        </is>
      </c>
      <c r="D37" s="22" t="inlineStr">
        <is>
          <t>Unify /ask and /brain/agent retrieval reach</t>
        </is>
      </c>
      <c r="E37" s="22" t="inlineStr">
        <is>
          <t>/ask never reads brain_context or brain_documents — provenance answers only work on the Dex agent path. Give both the same reach.</t>
        </is>
      </c>
      <c r="F37" s="38" t="inlineStr">
        <is>
          <t>P1</t>
        </is>
      </c>
      <c r="G37" s="103" t="inlineStr">
        <is>
          <t>AI/Brain/Agentic Review</t>
        </is>
      </c>
      <c r="H37" s="103" t="inlineStr">
        <is>
          <t>routers/brain.py:52,205</t>
        </is>
      </c>
      <c r="I37" s="103" t="inlineStr">
        <is>
          <t>M</t>
        </is>
      </c>
      <c r="J37" s="37" t="inlineStr">
        <is>
          <t>Backlog</t>
        </is>
      </c>
      <c r="K37" s="103" t="inlineStr"/>
      <c r="L37" s="103" t="inlineStr"/>
      <c r="M37" s="103" t="inlineStr"/>
      <c r="N37" s="41" t="inlineStr">
        <is>
          <t>No</t>
        </is>
      </c>
      <c r="O37" s="22" t="inlineStr"/>
    </row>
    <row r="38" ht="32" customHeight="1">
      <c r="A38" s="103" t="inlineStr">
        <is>
          <t>S4-05</t>
        </is>
      </c>
      <c r="B38" s="44" t="inlineStr">
        <is>
          <t>Sprint 4</t>
        </is>
      </c>
      <c r="C38" s="103" t="inlineStr">
        <is>
          <t>AI/Brain</t>
        </is>
      </c>
      <c r="D38" s="22" t="inlineStr">
        <is>
          <t>Extract + chunk + embed documents at ingest</t>
        </is>
      </c>
      <c r="E38" s="22" t="inlineStr">
        <is>
          <t>Uploaded documents are stored as metadata only; body text is never read at ingest. Add server-side extraction + chunking + embeddings into a new brain_chunks collection.</t>
        </is>
      </c>
      <c r="F38" s="38" t="inlineStr">
        <is>
          <t>P1</t>
        </is>
      </c>
      <c r="G38" s="103" t="inlineStr">
        <is>
          <t>AI/Brain/Agentic Review</t>
        </is>
      </c>
      <c r="H38" s="103" t="inlineStr">
        <is>
          <t>routers/brain_docs.py:147-213</t>
        </is>
      </c>
      <c r="I38" s="103" t="inlineStr">
        <is>
          <t>L</t>
        </is>
      </c>
      <c r="J38" s="37" t="inlineStr">
        <is>
          <t>Backlog</t>
        </is>
      </c>
      <c r="K38" s="103" t="inlineStr"/>
      <c r="L38" s="103" t="inlineStr"/>
      <c r="M38" s="103" t="inlineStr"/>
      <c r="N38" s="41" t="inlineStr">
        <is>
          <t>No</t>
        </is>
      </c>
      <c r="O38" s="22" t="inlineStr"/>
    </row>
    <row r="39" ht="32" customHeight="1">
      <c r="A39" s="103" t="inlineStr">
        <is>
          <t>S4-06</t>
        </is>
      </c>
      <c r="B39" s="44" t="inlineStr">
        <is>
          <t>Sprint 4</t>
        </is>
      </c>
      <c r="C39" s="103" t="inlineStr">
        <is>
          <t>AI/Brain</t>
        </is>
      </c>
      <c r="D39" s="22" t="inlineStr">
        <is>
          <t>Adopt vector search + hybrid retrieval</t>
        </is>
      </c>
      <c r="E39" s="22" t="inlineStr">
        <is>
          <t>Move from keyword-only BM25/regex to embeddings (Atlas Vector Search if on Atlas, else Qdrant/pgvector) fused with existing text search.</t>
        </is>
      </c>
      <c r="F39" s="38" t="inlineStr">
        <is>
          <t>P1</t>
        </is>
      </c>
      <c r="G39" s="103" t="inlineStr">
        <is>
          <t>AI/Brain/Agentic Review</t>
        </is>
      </c>
      <c r="H39" s="103" t="inlineStr">
        <is>
          <t>(new infra)</t>
        </is>
      </c>
      <c r="I39" s="103" t="inlineStr">
        <is>
          <t>L</t>
        </is>
      </c>
      <c r="J39" s="37" t="inlineStr">
        <is>
          <t>Backlog</t>
        </is>
      </c>
      <c r="K39" s="103" t="inlineStr"/>
      <c r="L39" s="103" t="inlineStr"/>
      <c r="M39" s="103" t="inlineStr"/>
      <c r="N39" s="41" t="inlineStr">
        <is>
          <t>No</t>
        </is>
      </c>
      <c r="O39" s="22" t="inlineStr"/>
    </row>
    <row r="40" ht="32" customHeight="1">
      <c r="A40" s="103" t="inlineStr">
        <is>
          <t>S4-07</t>
        </is>
      </c>
      <c r="B40" s="44" t="inlineStr">
        <is>
          <t>Sprint 4</t>
        </is>
      </c>
      <c r="C40" s="103" t="inlineStr">
        <is>
          <t>AI/Brain</t>
        </is>
      </c>
      <c r="D40" s="22" t="inlineStr">
        <is>
          <t>Formalize a tool registry</t>
        </is>
      </c>
      <c r="E40" s="22" t="inlineStr">
        <is>
          <t>The 10 _compute_* + 4 _tool_* handlers already have a clean typed contract — wrap in Pydantic in/out models and register centrally.</t>
        </is>
      </c>
      <c r="F40" s="42" t="inlineStr">
        <is>
          <t>P2</t>
        </is>
      </c>
      <c r="G40" s="103" t="inlineStr">
        <is>
          <t>AI/Brain/Agentic Review</t>
        </is>
      </c>
      <c r="H40" s="103" t="inlineStr">
        <is>
          <t>routers/brain.py; routers/brain_router.py</t>
        </is>
      </c>
      <c r="I40" s="103" t="inlineStr">
        <is>
          <t>M</t>
        </is>
      </c>
      <c r="J40" s="37" t="inlineStr">
        <is>
          <t>Backlog</t>
        </is>
      </c>
      <c r="K40" s="103" t="inlineStr"/>
      <c r="L40" s="103" t="inlineStr"/>
      <c r="M40" s="103" t="inlineStr"/>
      <c r="N40" s="41" t="inlineStr">
        <is>
          <t>No</t>
        </is>
      </c>
      <c r="O40" s="22" t="inlineStr"/>
    </row>
    <row r="41" ht="32" customHeight="1">
      <c r="A41" s="103" t="inlineStr">
        <is>
          <t>S4-08</t>
        </is>
      </c>
      <c r="B41" s="44" t="inlineStr">
        <is>
          <t>Sprint 4</t>
        </is>
      </c>
      <c r="C41" s="103" t="inlineStr">
        <is>
          <t>AI/Brain</t>
        </is>
      </c>
      <c r="D41" s="22" t="inlineStr">
        <is>
          <t>Add bounded planner-executor loop + native function-calling</t>
        </is>
      </c>
      <c r="E41" s="22" t="inlineStr">
        <is>
          <t>/brain/agent is single-turn (plan -&gt; fan-out -&gt; synthesize, no re-plan). Add an observe-then-replan loop and migrate to Anthropic tools=[...].</t>
        </is>
      </c>
      <c r="F41" s="42" t="inlineStr">
        <is>
          <t>P2</t>
        </is>
      </c>
      <c r="G41" s="103" t="inlineStr">
        <is>
          <t>AI/Brain/Agentic Review</t>
        </is>
      </c>
      <c r="H41" s="103" t="inlineStr">
        <is>
          <t>routers/brain_router.py:266-277,481-482</t>
        </is>
      </c>
      <c r="I41" s="103" t="inlineStr">
        <is>
          <t>L</t>
        </is>
      </c>
      <c r="J41" s="37" t="inlineStr">
        <is>
          <t>Backlog</t>
        </is>
      </c>
      <c r="K41" s="103" t="inlineStr"/>
      <c r="L41" s="103" t="inlineStr"/>
      <c r="M41" s="103" t="inlineStr"/>
      <c r="N41" s="41" t="inlineStr">
        <is>
          <t>No</t>
        </is>
      </c>
      <c r="O41" s="22" t="inlineStr"/>
    </row>
    <row r="42" ht="32" customHeight="1">
      <c r="A42" s="103" t="inlineStr">
        <is>
          <t>S4-09</t>
        </is>
      </c>
      <c r="B42" s="44" t="inlineStr">
        <is>
          <t>Sprint 4</t>
        </is>
      </c>
      <c r="C42" s="103" t="inlineStr">
        <is>
          <t>AI/Brain</t>
        </is>
      </c>
      <c r="D42" s="22" t="inlineStr">
        <is>
          <t>Add per-conversation agent memory</t>
        </is>
      </c>
      <c r="E42" s="22" t="inlineStr">
        <is>
          <t>Every LLM call gets a fresh random session_id; planner and synthesizer don't even share context.</t>
        </is>
      </c>
      <c r="F42" s="42" t="inlineStr">
        <is>
          <t>P2</t>
        </is>
      </c>
      <c r="G42" s="103" t="inlineStr">
        <is>
          <t>AI/Brain/Agentic Review</t>
        </is>
      </c>
      <c r="H42" s="103" t="inlineStr">
        <is>
          <t>routers/brain_router.py:95,353</t>
        </is>
      </c>
      <c r="I42" s="103" t="inlineStr">
        <is>
          <t>M</t>
        </is>
      </c>
      <c r="J42" s="37" t="inlineStr">
        <is>
          <t>Backlog</t>
        </is>
      </c>
      <c r="K42" s="103" t="inlineStr"/>
      <c r="L42" s="103" t="inlineStr"/>
      <c r="M42" s="103" t="inlineStr"/>
      <c r="N42" s="41" t="inlineStr">
        <is>
          <t>No</t>
        </is>
      </c>
      <c r="O42" s="22" t="inlineStr"/>
    </row>
    <row r="43" ht="32" customHeight="1">
      <c r="A43" s="103" t="inlineStr">
        <is>
          <t>S4-10</t>
        </is>
      </c>
      <c r="B43" s="44" t="inlineStr">
        <is>
          <t>Sprint 4</t>
        </is>
      </c>
      <c r="C43" s="103" t="inlineStr">
        <is>
          <t>AI/Brain</t>
        </is>
      </c>
      <c r="D43" s="22" t="inlineStr">
        <is>
          <t>Expand Brain write coverage to finance/workflow/meetings</t>
        </is>
      </c>
      <c r="E43" s="22" t="inlineStr">
        <is>
          <t>Only 6 write sites exist today; all payments/invoices/workflow-advance/meetings/ingestion events are invisible to the Brain.</t>
        </is>
      </c>
      <c r="F43" s="42" t="inlineStr">
        <is>
          <t>P2</t>
        </is>
      </c>
      <c r="G43" s="103" t="inlineStr">
        <is>
          <t>AI/Brain/Agentic Review</t>
        </is>
      </c>
      <c r="H43" s="103" t="inlineStr">
        <is>
          <t>ledger.py:521-838; server.py (workflow advance, meetings)</t>
        </is>
      </c>
      <c r="I43" s="103" t="inlineStr">
        <is>
          <t>L</t>
        </is>
      </c>
      <c r="J43" s="37" t="inlineStr">
        <is>
          <t>Backlog</t>
        </is>
      </c>
      <c r="K43" s="103" t="inlineStr"/>
      <c r="L43" s="103" t="inlineStr"/>
      <c r="M43" s="103" t="inlineStr"/>
      <c r="N43" s="41" t="inlineStr">
        <is>
          <t>No</t>
        </is>
      </c>
      <c r="O43" s="22" t="inlineStr"/>
    </row>
    <row r="44" ht="32" customHeight="1">
      <c r="A44" s="103" t="inlineStr">
        <is>
          <t>S4-11</t>
        </is>
      </c>
      <c r="B44" s="44" t="inlineStr">
        <is>
          <t>Sprint 4</t>
        </is>
      </c>
      <c r="C44" s="103" t="inlineStr">
        <is>
          <t>AI/Brain</t>
        </is>
      </c>
      <c r="D44" s="22" t="inlineStr">
        <is>
          <t>Make tag vocabulary tenant/industry-configurable</t>
        </is>
      </c>
      <c r="E44" s="22" t="inlineStr">
        <is>
          <t>_TAG_VOCAB is 10 hardcoded manufacturing buckets; clinics/restaurants/agencies get silently under-tagged, hurting retrieval recall.</t>
        </is>
      </c>
      <c r="F44" s="42" t="inlineStr">
        <is>
          <t>P2</t>
        </is>
      </c>
      <c r="G44" s="103" t="inlineStr">
        <is>
          <t>AI/Brain/Agentic Review</t>
        </is>
      </c>
      <c r="H44" s="103" t="inlineStr">
        <is>
          <t>services/brain_context.py:36-47</t>
        </is>
      </c>
      <c r="I44" s="103" t="inlineStr">
        <is>
          <t>M</t>
        </is>
      </c>
      <c r="J44" s="37" t="inlineStr">
        <is>
          <t>Backlog</t>
        </is>
      </c>
      <c r="K44" s="103" t="inlineStr"/>
      <c r="L44" s="103" t="inlineStr"/>
      <c r="M44" s="103" t="inlineStr"/>
      <c r="N44" s="41" t="inlineStr">
        <is>
          <t>No</t>
        </is>
      </c>
      <c r="O44" s="22" t="inlineStr"/>
    </row>
    <row r="45" ht="32" customHeight="1">
      <c r="A45" s="103" t="inlineStr">
        <is>
          <t>S5-01</t>
        </is>
      </c>
      <c r="B45" s="45" t="inlineStr">
        <is>
          <t>Sprint 5</t>
        </is>
      </c>
      <c r="C45" s="103" t="inlineStr">
        <is>
          <t>DevOps/Migration</t>
        </is>
      </c>
      <c r="D45" s="22" t="inlineStr">
        <is>
          <t>Stand up a staging environment</t>
        </is>
      </c>
      <c r="E45" s="22" t="inlineStr">
        <is>
          <t>Mirror production config/data shape so every fix above is verified before it touches real tenants.</t>
        </is>
      </c>
      <c r="F45" s="36" t="inlineStr">
        <is>
          <t>P0</t>
        </is>
      </c>
      <c r="G45" s="103" t="inlineStr">
        <is>
          <t>Go-Live Gate</t>
        </is>
      </c>
      <c r="H45" s="103" t="inlineStr">
        <is>
          <t>(infra)</t>
        </is>
      </c>
      <c r="I45" s="103" t="inlineStr">
        <is>
          <t>M</t>
        </is>
      </c>
      <c r="J45" s="37" t="inlineStr">
        <is>
          <t>Backlog</t>
        </is>
      </c>
      <c r="K45" s="103" t="inlineStr"/>
      <c r="L45" s="103" t="inlineStr"/>
      <c r="M45" s="103" t="inlineStr"/>
      <c r="N45" s="23" t="inlineStr">
        <is>
          <t>Yes</t>
        </is>
      </c>
      <c r="O45" s="22" t="inlineStr"/>
    </row>
    <row r="46" ht="32" customHeight="1">
      <c r="A46" s="103" t="inlineStr">
        <is>
          <t>S5-02</t>
        </is>
      </c>
      <c r="B46" s="45" t="inlineStr">
        <is>
          <t>Sprint 5</t>
        </is>
      </c>
      <c r="C46" s="103" t="inlineStr">
        <is>
          <t>DevOps/Migration</t>
        </is>
      </c>
      <c r="D46" s="22" t="inlineStr">
        <is>
          <t>Run a load test at target scale</t>
        </is>
      </c>
      <c r="E46" s="22" t="inlineStr">
        <is>
          <t>Simulate ~100 tenants / concurrent voice-capture + dashboard traffic; this is the single test that most moves go-live confidence.</t>
        </is>
      </c>
      <c r="F46" s="36" t="inlineStr">
        <is>
          <t>P0</t>
        </is>
      </c>
      <c r="G46" s="103" t="inlineStr">
        <is>
          <t>Go-Live Gate</t>
        </is>
      </c>
      <c r="H46" s="103" t="inlineStr">
        <is>
          <t>(new)</t>
        </is>
      </c>
      <c r="I46" s="103" t="inlineStr">
        <is>
          <t>M</t>
        </is>
      </c>
      <c r="J46" s="37" t="inlineStr">
        <is>
          <t>Backlog</t>
        </is>
      </c>
      <c r="K46" s="103" t="inlineStr"/>
      <c r="L46" s="103" t="inlineStr"/>
      <c r="M46" s="103" t="inlineStr"/>
      <c r="N46" s="23" t="inlineStr">
        <is>
          <t>Yes</t>
        </is>
      </c>
      <c r="O46" s="22" t="inlineStr"/>
    </row>
    <row r="47" ht="32" customHeight="1">
      <c r="A47" s="103" t="inlineStr">
        <is>
          <t>S5-03</t>
        </is>
      </c>
      <c r="B47" s="45" t="inlineStr">
        <is>
          <t>Sprint 5</t>
        </is>
      </c>
      <c r="C47" s="103" t="inlineStr">
        <is>
          <t>DevOps/Migration</t>
        </is>
      </c>
      <c r="D47" s="22" t="inlineStr">
        <is>
          <t>Add observability (Sentry + structured logs + APM)</t>
        </is>
      </c>
      <c r="E47" s="22" t="inlineStr">
        <is>
          <t>No error tracker exists today; you will not learn about production bugs until a customer reports them.</t>
        </is>
      </c>
      <c r="F47" s="36" t="inlineStr">
        <is>
          <t>P0</t>
        </is>
      </c>
      <c r="G47" s="103" t="inlineStr">
        <is>
          <t>SaaS Readiness Review</t>
        </is>
      </c>
      <c r="H47" s="103" t="inlineStr">
        <is>
          <t>(missing)</t>
        </is>
      </c>
      <c r="I47" s="103" t="inlineStr">
        <is>
          <t>M</t>
        </is>
      </c>
      <c r="J47" s="37" t="inlineStr">
        <is>
          <t>Backlog</t>
        </is>
      </c>
      <c r="K47" s="103" t="inlineStr"/>
      <c r="L47" s="103" t="inlineStr"/>
      <c r="M47" s="103" t="inlineStr"/>
      <c r="N47" s="23" t="inlineStr">
        <is>
          <t>Yes</t>
        </is>
      </c>
      <c r="O47" s="22" t="inlineStr"/>
    </row>
    <row r="48" ht="32" customHeight="1">
      <c r="A48" s="103" t="inlineStr">
        <is>
          <t>S5-04</t>
        </is>
      </c>
      <c r="B48" s="45" t="inlineStr">
        <is>
          <t>Sprint 5</t>
        </is>
      </c>
      <c r="C48" s="103" t="inlineStr">
        <is>
          <t>DevOps/Migration</t>
        </is>
      </c>
      <c r="D48" s="22" t="inlineStr">
        <is>
          <t>Write + TEST a backup/restore runbook</t>
        </is>
      </c>
      <c r="E48" s="22" t="inlineStr">
        <is>
          <t>No documented Mongo backup strategy anywhere. Define RPO/RTO and actually run a restore drill, not just a doc.</t>
        </is>
      </c>
      <c r="F48" s="36" t="inlineStr">
        <is>
          <t>P0</t>
        </is>
      </c>
      <c r="G48" s="103" t="inlineStr">
        <is>
          <t>SaaS Readiness Review</t>
        </is>
      </c>
      <c r="H48" s="103" t="inlineStr">
        <is>
          <t>(missing)</t>
        </is>
      </c>
      <c r="I48" s="103" t="inlineStr">
        <is>
          <t>M</t>
        </is>
      </c>
      <c r="J48" s="37" t="inlineStr">
        <is>
          <t>Backlog</t>
        </is>
      </c>
      <c r="K48" s="103" t="inlineStr"/>
      <c r="L48" s="103" t="inlineStr"/>
      <c r="M48" s="103" t="inlineStr"/>
      <c r="N48" s="23" t="inlineStr">
        <is>
          <t>Yes</t>
        </is>
      </c>
      <c r="O48" s="22" t="inlineStr"/>
    </row>
    <row r="49" ht="32" customHeight="1">
      <c r="A49" s="103" t="inlineStr">
        <is>
          <t>S5-05</t>
        </is>
      </c>
      <c r="B49" s="45" t="inlineStr">
        <is>
          <t>Sprint 5</t>
        </is>
      </c>
      <c r="C49" s="103" t="inlineStr">
        <is>
          <t>DevOps/Migration</t>
        </is>
      </c>
      <c r="D49" s="22" t="inlineStr">
        <is>
          <t>Data migration plan for schema changes above</t>
        </is>
      </c>
      <c r="E49" s="22" t="inlineStr">
        <is>
          <t>Freeze the production data model, script every schema change introduced in Sprints 0-3 (indexes, new tenant fields, brain_context linkage), dry-run against a staging copy of real-shaped data.</t>
        </is>
      </c>
      <c r="F49" s="36" t="inlineStr">
        <is>
          <t>P0</t>
        </is>
      </c>
      <c r="G49" s="103" t="inlineStr">
        <is>
          <t>Go-Live Gate</t>
        </is>
      </c>
      <c r="H49" s="103" t="inlineStr">
        <is>
          <t>(new)</t>
        </is>
      </c>
      <c r="I49" s="103" t="inlineStr">
        <is>
          <t>L</t>
        </is>
      </c>
      <c r="J49" s="37" t="inlineStr">
        <is>
          <t>Backlog</t>
        </is>
      </c>
      <c r="K49" s="103" t="inlineStr"/>
      <c r="L49" s="103" t="inlineStr"/>
      <c r="M49" s="103" t="inlineStr"/>
      <c r="N49" s="23" t="inlineStr">
        <is>
          <t>Yes</t>
        </is>
      </c>
      <c r="O49" s="22" t="inlineStr"/>
    </row>
    <row r="50" ht="32" customHeight="1">
      <c r="A50" s="103" t="inlineStr">
        <is>
          <t>S5-06</t>
        </is>
      </c>
      <c r="B50" s="45" t="inlineStr">
        <is>
          <t>Sprint 5</t>
        </is>
      </c>
      <c r="C50" s="103" t="inlineStr">
        <is>
          <t>DevOps/Migration</t>
        </is>
      </c>
      <c r="D50" s="22" t="inlineStr">
        <is>
          <t>Stand up CI/CD</t>
        </is>
      </c>
      <c r="E50" s="22" t="inlineStr">
        <is>
          <t>Build + test + deploy pipeline gated on the existing pytest suite passing; no more manual deploys.</t>
        </is>
      </c>
      <c r="F50" s="38" t="inlineStr">
        <is>
          <t>P1</t>
        </is>
      </c>
      <c r="G50" s="103" t="inlineStr">
        <is>
          <t>Go-Live Gate</t>
        </is>
      </c>
      <c r="H50" s="103" t="inlineStr">
        <is>
          <t>backend/pytest.ini, backend/tests/</t>
        </is>
      </c>
      <c r="I50" s="103" t="inlineStr">
        <is>
          <t>M</t>
        </is>
      </c>
      <c r="J50" s="37" t="inlineStr">
        <is>
          <t>Backlog</t>
        </is>
      </c>
      <c r="K50" s="103" t="inlineStr"/>
      <c r="L50" s="103" t="inlineStr"/>
      <c r="M50" s="103" t="inlineStr"/>
      <c r="N50" s="23" t="inlineStr">
        <is>
          <t>Yes</t>
        </is>
      </c>
      <c r="O50" s="22" t="inlineStr"/>
    </row>
    <row r="51" ht="32" customHeight="1">
      <c r="A51" s="103" t="inlineStr">
        <is>
          <t>S5-07</t>
        </is>
      </c>
      <c r="B51" s="45" t="inlineStr">
        <is>
          <t>Sprint 5</t>
        </is>
      </c>
      <c r="C51" s="103" t="inlineStr">
        <is>
          <t>DevOps/Migration</t>
        </is>
      </c>
      <c r="D51" s="22" t="inlineStr">
        <is>
          <t>Define a rollback procedure</t>
        </is>
      </c>
      <c r="E51" s="22" t="inlineStr">
        <is>
          <t>A tested, written-down path to revert a bad deploy fast, including the Sprint 5-05 migrations.</t>
        </is>
      </c>
      <c r="F51" s="38" t="inlineStr">
        <is>
          <t>P1</t>
        </is>
      </c>
      <c r="G51" s="103" t="inlineStr">
        <is>
          <t>Go-Live Gate</t>
        </is>
      </c>
      <c r="H51" s="103" t="inlineStr">
        <is>
          <t>(new)</t>
        </is>
      </c>
      <c r="I51" s="103" t="inlineStr">
        <is>
          <t>S</t>
        </is>
      </c>
      <c r="J51" s="37" t="inlineStr">
        <is>
          <t>Backlog</t>
        </is>
      </c>
      <c r="K51" s="103" t="inlineStr"/>
      <c r="L51" s="103" t="inlineStr"/>
      <c r="M51" s="103" t="inlineStr"/>
      <c r="N51" s="23" t="inlineStr">
        <is>
          <t>Yes</t>
        </is>
      </c>
      <c r="O51" s="22" t="inlineStr"/>
    </row>
    <row r="52" ht="32" customHeight="1">
      <c r="A52" s="103" t="inlineStr">
        <is>
          <t>S5-08</t>
        </is>
      </c>
      <c r="B52" s="45" t="inlineStr">
        <is>
          <t>Sprint 5</t>
        </is>
      </c>
      <c r="C52" s="103" t="inlineStr">
        <is>
          <t>DevOps/Migration</t>
        </is>
      </c>
      <c r="D52" s="22" t="inlineStr">
        <is>
          <t>Move secrets to a real secrets manager</t>
        </is>
      </c>
      <c r="E52" s="22" t="inlineStr">
        <is>
          <t>Rotate JWT_SECRET/DB creds/API keys out of .env into the platform's secret store; confirm .env is never in the image.</t>
        </is>
      </c>
      <c r="F52" s="36" t="inlineStr">
        <is>
          <t>P0</t>
        </is>
      </c>
      <c r="G52" s="103" t="inlineStr">
        <is>
          <t>SaaS Readiness Review</t>
        </is>
      </c>
      <c r="H52" s="103" t="inlineStr">
        <is>
          <t>backend/.env, config.py</t>
        </is>
      </c>
      <c r="I52" s="103" t="inlineStr">
        <is>
          <t>S</t>
        </is>
      </c>
      <c r="J52" s="37" t="inlineStr">
        <is>
          <t>Backlog</t>
        </is>
      </c>
      <c r="K52" s="103" t="inlineStr"/>
      <c r="L52" s="103" t="inlineStr"/>
      <c r="M52" s="103" t="inlineStr"/>
      <c r="N52" s="23" t="inlineStr">
        <is>
          <t>Yes</t>
        </is>
      </c>
      <c r="O52" s="22" t="inlineStr"/>
    </row>
    <row r="53" ht="32" customHeight="1">
      <c r="A53" s="103" t="inlineStr">
        <is>
          <t>S5-09</t>
        </is>
      </c>
      <c r="B53" s="45" t="inlineStr">
        <is>
          <t>Sprint 5</t>
        </is>
      </c>
      <c r="C53" s="103" t="inlineStr">
        <is>
          <t>DevOps/Migration</t>
        </is>
      </c>
      <c r="D53" s="22" t="inlineStr">
        <is>
          <t>Staged rollout plan (5 -&gt; 20 -&gt; 50 -&gt; 100)</t>
        </is>
      </c>
      <c r="E53" s="22" t="inlineStr">
        <is>
          <t>Do not flip on 100 clients cold. Roll out in stages with a monitoring checkpoint + explicit go/no-go at each step.</t>
        </is>
      </c>
      <c r="F53" s="36" t="inlineStr">
        <is>
          <t>P0</t>
        </is>
      </c>
      <c r="G53" s="103" t="inlineStr">
        <is>
          <t>Go-Live Gate</t>
        </is>
      </c>
      <c r="H53" s="103" t="inlineStr">
        <is>
          <t>(process)</t>
        </is>
      </c>
      <c r="I53" s="103" t="inlineStr">
        <is>
          <t>S</t>
        </is>
      </c>
      <c r="J53" s="37" t="inlineStr">
        <is>
          <t>Backlog</t>
        </is>
      </c>
      <c r="K53" s="103" t="inlineStr"/>
      <c r="L53" s="103" t="inlineStr"/>
      <c r="M53" s="103" t="inlineStr"/>
      <c r="N53" s="23" t="inlineStr">
        <is>
          <t>Yes</t>
        </is>
      </c>
      <c r="O53" s="22" t="inlineStr"/>
    </row>
    <row r="54" ht="32" customHeight="1">
      <c r="A54" s="103" t="inlineStr">
        <is>
          <t>S5-10</t>
        </is>
      </c>
      <c r="B54" s="45" t="inlineStr">
        <is>
          <t>Sprint 5</t>
        </is>
      </c>
      <c r="C54" s="103" t="inlineStr">
        <is>
          <t>DevOps/Migration</t>
        </is>
      </c>
      <c r="D54" s="22" t="inlineStr">
        <is>
          <t>Final go/no-go review</t>
        </is>
      </c>
      <c r="E54" s="22" t="inlineStr">
        <is>
          <t>Walk the Go-Live Checklist tab end to end with the team before opening self-serve signup or onboarding client #1.</t>
        </is>
      </c>
      <c r="F54" s="36" t="inlineStr">
        <is>
          <t>P0</t>
        </is>
      </c>
      <c r="G54" s="103" t="inlineStr">
        <is>
          <t>Go-Live Gate</t>
        </is>
      </c>
      <c r="H54" s="103" t="inlineStr">
        <is>
          <t>(process)</t>
        </is>
      </c>
      <c r="I54" s="103" t="inlineStr">
        <is>
          <t>S</t>
        </is>
      </c>
      <c r="J54" s="37" t="inlineStr">
        <is>
          <t>Backlog</t>
        </is>
      </c>
      <c r="K54" s="103" t="inlineStr"/>
      <c r="L54" s="103" t="inlineStr"/>
      <c r="M54" s="103" t="inlineStr"/>
      <c r="N54" s="23" t="inlineStr">
        <is>
          <t>Yes</t>
        </is>
      </c>
      <c r="O54" s="22" t="inlineStr"/>
    </row>
    <row r="55">
      <c r="A55" t="inlineStr">
        <is>
          <t>RBAC-01</t>
        </is>
      </c>
      <c r="B55" t="inlineStr">
        <is>
          <t>Sprint 2.5</t>
        </is>
      </c>
      <c r="C55" t="inlineStr">
        <is>
          <t>Endpoint gate</t>
        </is>
      </c>
      <c r="D55" t="inlineStr">
        <is>
          <t>Auth-gate onboarding drafts</t>
        </is>
      </c>
      <c r="E55" t="inlineStr">
        <is>
          <t>GET/PATCH /onboarding/draft/{draft_id} become 'signed link only': add a signed HMAC on the draft URL (draft_id + issued_at + signature). Only the client that created the draft can read/write. Add rate-limit per IP. Accept: cannot access another draft even with a leaked UUID.</t>
        </is>
      </c>
      <c r="F55" t="inlineStr">
        <is>
          <t>P0</t>
        </is>
      </c>
      <c r="G55" t="inlineStr">
        <is>
          <t>RBAC &amp; People Audit</t>
        </is>
      </c>
      <c r="H55" t="inlineStr">
        <is>
          <t>(various)</t>
        </is>
      </c>
      <c r="I55" t="inlineStr">
        <is>
          <t>S</t>
        </is>
      </c>
      <c r="J55" s="106" t="inlineStr">
        <is>
          <t>Done</t>
        </is>
      </c>
      <c r="L55" t="inlineStr">
        <is>
          <t>2026-08-10</t>
        </is>
      </c>
      <c r="M55" t="inlineStr">
        <is>
          <t>2026-08-10</t>
        </is>
      </c>
      <c r="N55" t="inlineStr">
        <is>
          <t>Yes</t>
        </is>
      </c>
      <c r="O55" t="inlineStr">
        <is>
          <t xml:space="preserve">Shipped in FIX-004-A (a44135f). </t>
        </is>
      </c>
    </row>
    <row r="56">
      <c r="A56" t="inlineStr">
        <is>
          <t>RBAC-02</t>
        </is>
      </c>
      <c r="B56" t="inlineStr">
        <is>
          <t>Sprint 2.5</t>
        </is>
      </c>
      <c r="C56" t="inlineStr">
        <is>
          <t>Endpoint gate</t>
        </is>
      </c>
      <c r="D56" t="inlineStr">
        <is>
          <t>CAPTCHA + IP rate-limit on /register</t>
        </is>
      </c>
      <c r="E56" t="inlineStr">
        <is>
          <t>Turnstile (Cloudflare, free) or hCaptcha on POST /register. IP rate limit: 3 registrations/hour/IP. Accept: bot creating 100 tenants gets blocked at #4.</t>
        </is>
      </c>
      <c r="F56" t="inlineStr">
        <is>
          <t>P0</t>
        </is>
      </c>
      <c r="G56" t="inlineStr">
        <is>
          <t>RBAC &amp; People Audit</t>
        </is>
      </c>
      <c r="H56" t="inlineStr">
        <is>
          <t>(various)</t>
        </is>
      </c>
      <c r="I56" t="inlineStr">
        <is>
          <t>M</t>
        </is>
      </c>
      <c r="J56" s="106" t="inlineStr">
        <is>
          <t>Done</t>
        </is>
      </c>
      <c r="L56" t="inlineStr">
        <is>
          <t>2026-08-10</t>
        </is>
      </c>
      <c r="M56" t="inlineStr">
        <is>
          <t>2026-08-10</t>
        </is>
      </c>
      <c r="N56" t="inlineStr">
        <is>
          <t>Yes</t>
        </is>
      </c>
      <c r="O56" t="inlineStr">
        <is>
          <t xml:space="preserve">Shipped in FIX-004-A (a44135f). </t>
        </is>
      </c>
    </row>
    <row r="57">
      <c r="A57" t="inlineStr">
        <is>
          <t>RBAC-03</t>
        </is>
      </c>
      <c r="B57" t="inlineStr">
        <is>
          <t>Sprint 2.5</t>
        </is>
      </c>
      <c r="C57" t="inlineStr">
        <is>
          <t>Endpoint gate</t>
        </is>
      </c>
      <c r="D57" t="inlineStr">
        <is>
          <t>Auth-gate + rate-limit signup AI endpoints</t>
        </is>
      </c>
      <c r="E57" t="inlineStr">
        <is>
          <t>/website-intel, /signup/tts, /signup/stt need: CAPTCHA on first call per IP + per-IP 10-req/hour ceiling. SSRF guard on /website-intel (block private IP ranges, allowlist protocols). Accept: unauth attacker cannot burn &gt; $0.10 of AI credit.</t>
        </is>
      </c>
      <c r="F57" t="inlineStr">
        <is>
          <t>P0</t>
        </is>
      </c>
      <c r="G57" t="inlineStr">
        <is>
          <t>RBAC &amp; People Audit</t>
        </is>
      </c>
      <c r="H57" t="inlineStr">
        <is>
          <t>(various)</t>
        </is>
      </c>
      <c r="I57" t="inlineStr">
        <is>
          <t>M</t>
        </is>
      </c>
      <c r="J57" s="106" t="inlineStr">
        <is>
          <t>Done</t>
        </is>
      </c>
      <c r="L57" t="inlineStr">
        <is>
          <t>2026-08-10</t>
        </is>
      </c>
      <c r="M57" t="inlineStr">
        <is>
          <t>2026-08-10</t>
        </is>
      </c>
      <c r="N57" t="inlineStr">
        <is>
          <t>Yes</t>
        </is>
      </c>
      <c r="O57" t="inlineStr">
        <is>
          <t xml:space="preserve">Shipped in FIX-004-A (a44135f). </t>
        </is>
      </c>
    </row>
    <row r="58">
      <c r="A58" t="inlineStr">
        <is>
          <t>RBAC-04</t>
        </is>
      </c>
      <c r="B58" t="inlineStr">
        <is>
          <t>Sprint 2.5</t>
        </is>
      </c>
      <c r="C58" t="inlineStr">
        <is>
          <t>Endpoint gate</t>
        </is>
      </c>
      <c r="D58" t="inlineStr">
        <is>
          <t>Symmetric role gate on /workflows create+delete</t>
        </is>
      </c>
      <c r="E58" t="inlineStr">
        <is>
          <t>POST /workflows: add require_perm('workflows') at minimum, ideally require_perm('workflow_create') if we split it. Accept: employee without workflow perm gets 403 on create.</t>
        </is>
      </c>
      <c r="F58" t="inlineStr">
        <is>
          <t>P1</t>
        </is>
      </c>
      <c r="G58" t="inlineStr">
        <is>
          <t>RBAC &amp; People Audit</t>
        </is>
      </c>
      <c r="H58" t="inlineStr">
        <is>
          <t>(various)</t>
        </is>
      </c>
      <c r="I58" t="inlineStr">
        <is>
          <t>S</t>
        </is>
      </c>
      <c r="J58" s="106" t="inlineStr">
        <is>
          <t>Done</t>
        </is>
      </c>
      <c r="L58" t="inlineStr">
        <is>
          <t>2026-08-10</t>
        </is>
      </c>
      <c r="M58" t="inlineStr">
        <is>
          <t>2026-08-10</t>
        </is>
      </c>
      <c r="N58" t="inlineStr">
        <is>
          <t>No</t>
        </is>
      </c>
      <c r="O58" t="inlineStr">
        <is>
          <t xml:space="preserve">Shipped in FIX-004-C (9b3a1c3). </t>
        </is>
      </c>
    </row>
    <row r="59">
      <c r="A59" t="inlineStr">
        <is>
          <t>RBAC-05</t>
        </is>
      </c>
      <c r="B59" t="inlineStr">
        <is>
          <t>Sprint 2.5</t>
        </is>
      </c>
      <c r="C59" t="inlineStr">
        <is>
          <t>Endpoint gate</t>
        </is>
      </c>
      <c r="D59" t="inlineStr">
        <is>
          <t>Gate /captures approve/reject/reassign</t>
        </is>
      </c>
      <c r="E59" t="inlineStr">
        <is>
          <t>Approving/rejecting a capture creates real records — must be require_perm('approvals') or role-gated. Accept: employee without approvals perm gets 403.</t>
        </is>
      </c>
      <c r="F59" t="inlineStr">
        <is>
          <t>P1</t>
        </is>
      </c>
      <c r="G59" t="inlineStr">
        <is>
          <t>RBAC &amp; People Audit</t>
        </is>
      </c>
      <c r="H59" t="inlineStr">
        <is>
          <t>(various)</t>
        </is>
      </c>
      <c r="I59" t="inlineStr">
        <is>
          <t>S</t>
        </is>
      </c>
      <c r="J59" s="106" t="inlineStr">
        <is>
          <t>Done</t>
        </is>
      </c>
      <c r="L59" t="inlineStr">
        <is>
          <t>2026-08-10</t>
        </is>
      </c>
      <c r="M59" t="inlineStr">
        <is>
          <t>2026-08-10</t>
        </is>
      </c>
      <c r="N59" t="inlineStr">
        <is>
          <t>No</t>
        </is>
      </c>
      <c r="O59" t="inlineStr">
        <is>
          <t xml:space="preserve">Shipped in FIX-004-C (9b3a1c3). </t>
        </is>
      </c>
    </row>
    <row r="60">
      <c r="A60" t="inlineStr">
        <is>
          <t>RBAC-06</t>
        </is>
      </c>
      <c r="B60" t="inlineStr">
        <is>
          <t>Sprint 2.5</t>
        </is>
      </c>
      <c r="C60" t="inlineStr">
        <is>
          <t>Endpoint gate</t>
        </is>
      </c>
      <c r="D60" t="inlineStr">
        <is>
          <t>Gate /follow-up/run to owner or team_manage</t>
        </is>
      </c>
      <c r="E60" t="inlineStr">
        <is>
          <t>Manual follow-up trigger burns LLM. Restrict to owner or perm(team_manage).</t>
        </is>
      </c>
      <c r="F60" t="inlineStr">
        <is>
          <t>P1</t>
        </is>
      </c>
      <c r="G60" t="inlineStr">
        <is>
          <t>RBAC &amp; People Audit</t>
        </is>
      </c>
      <c r="H60" t="inlineStr">
        <is>
          <t>(various)</t>
        </is>
      </c>
      <c r="I60" t="inlineStr">
        <is>
          <t>S</t>
        </is>
      </c>
      <c r="J60" s="106" t="inlineStr">
        <is>
          <t>Done</t>
        </is>
      </c>
      <c r="L60" t="inlineStr">
        <is>
          <t>2026-08-10</t>
        </is>
      </c>
      <c r="M60" t="inlineStr">
        <is>
          <t>2026-08-10</t>
        </is>
      </c>
      <c r="N60" t="inlineStr">
        <is>
          <t>No</t>
        </is>
      </c>
      <c r="O60" t="inlineStr">
        <is>
          <t xml:space="preserve">Shipped in FIX-004-C (9b3a1c3). </t>
        </is>
      </c>
    </row>
    <row r="61">
      <c r="A61" t="inlineStr">
        <is>
          <t>RBAC-07</t>
        </is>
      </c>
      <c r="B61" t="inlineStr">
        <is>
          <t>Sprint 2.5</t>
        </is>
      </c>
      <c r="C61" t="inlineStr">
        <is>
          <t>Endpoint gate</t>
        </is>
      </c>
      <c r="D61" t="inlineStr">
        <is>
          <t>Role gates across tasks router</t>
        </is>
      </c>
      <c r="E61" t="inlineStr">
        <is>
          <t>17 endpoints in routers/tasks.py are auth-only. Group: reassign + priority-change + delete-execution-plan need perm('team_manage'); prioritize (LLM) needs perm('tasks'). Add explicit decorators. Accept: cross-role matrix test passes.</t>
        </is>
      </c>
      <c r="F61" t="inlineStr">
        <is>
          <t>P1</t>
        </is>
      </c>
      <c r="G61" t="inlineStr">
        <is>
          <t>RBAC &amp; People Audit</t>
        </is>
      </c>
      <c r="H61" t="inlineStr">
        <is>
          <t>(various)</t>
        </is>
      </c>
      <c r="I61" t="inlineStr">
        <is>
          <t>M</t>
        </is>
      </c>
      <c r="J61" s="106" t="inlineStr">
        <is>
          <t>Done</t>
        </is>
      </c>
      <c r="L61" t="inlineStr">
        <is>
          <t>2026-08-10</t>
        </is>
      </c>
      <c r="M61" t="inlineStr">
        <is>
          <t>2026-08-10</t>
        </is>
      </c>
      <c r="N61" t="inlineStr">
        <is>
          <t>No</t>
        </is>
      </c>
      <c r="O61" t="inlineStr">
        <is>
          <t xml:space="preserve">Shipped in FIX-004-C (9b3a1c3). </t>
        </is>
      </c>
    </row>
    <row r="62">
      <c r="A62" t="inlineStr">
        <is>
          <t>RBAC-08</t>
        </is>
      </c>
      <c r="B62" t="inlineStr">
        <is>
          <t>Sprint 2.5</t>
        </is>
      </c>
      <c r="C62" t="inlineStr">
        <is>
          <t>Endpoint gate</t>
        </is>
      </c>
      <c r="D62" t="inlineStr">
        <is>
          <t>Gate voice/meeting AI on perm(voice_capture)</t>
        </is>
      </c>
      <c r="E62" t="inlineStr">
        <is>
          <t>voice_capture permission exists in PERMISSION_KEYS but only used by 3 endpoints. Add to /voice-notes text+audio and /meetings audio. Accept: perm-less employee can't burn STT credits.</t>
        </is>
      </c>
      <c r="F62" t="inlineStr">
        <is>
          <t>P1</t>
        </is>
      </c>
      <c r="G62" t="inlineStr">
        <is>
          <t>RBAC &amp; People Audit</t>
        </is>
      </c>
      <c r="H62" t="inlineStr">
        <is>
          <t>(various)</t>
        </is>
      </c>
      <c r="I62" t="inlineStr">
        <is>
          <t>S</t>
        </is>
      </c>
      <c r="J62" s="106" t="inlineStr">
        <is>
          <t>Done</t>
        </is>
      </c>
      <c r="L62" t="inlineStr">
        <is>
          <t>2026-08-10</t>
        </is>
      </c>
      <c r="M62" t="inlineStr">
        <is>
          <t>2026-08-10</t>
        </is>
      </c>
      <c r="N62" t="inlineStr">
        <is>
          <t>No</t>
        </is>
      </c>
      <c r="O62" t="inlineStr">
        <is>
          <t xml:space="preserve">Shipped in FIX-004-C (9b3a1c3). </t>
        </is>
      </c>
    </row>
    <row r="63">
      <c r="A63" t="inlineStr">
        <is>
          <t>RBAC-09</t>
        </is>
      </c>
      <c r="B63" t="inlineStr">
        <is>
          <t>Sprint 2.5</t>
        </is>
      </c>
      <c r="C63" t="inlineStr">
        <is>
          <t>Endpoint gate</t>
        </is>
      </c>
      <c r="D63" t="inlineStr">
        <is>
          <t>Add decorator gate to leaves approve/reject</t>
        </is>
      </c>
      <c r="E63" t="inlineStr">
        <is>
          <t>Move inline _can_approve_leave into require_perm('leave_approve'). Keep inline check as defense-in-depth. Accept: reviewer reading the route sees the gate in the signature.</t>
        </is>
      </c>
      <c r="F63" t="inlineStr">
        <is>
          <t>P1</t>
        </is>
      </c>
      <c r="G63" t="inlineStr">
        <is>
          <t>RBAC &amp; People Audit</t>
        </is>
      </c>
      <c r="H63" t="inlineStr">
        <is>
          <t>(various)</t>
        </is>
      </c>
      <c r="I63" t="inlineStr">
        <is>
          <t>S</t>
        </is>
      </c>
      <c r="J63" s="106" t="inlineStr">
        <is>
          <t>Done</t>
        </is>
      </c>
      <c r="L63" t="inlineStr">
        <is>
          <t>2026-08-10</t>
        </is>
      </c>
      <c r="M63" t="inlineStr">
        <is>
          <t>2026-08-10</t>
        </is>
      </c>
      <c r="N63" t="inlineStr">
        <is>
          <t>No</t>
        </is>
      </c>
      <c r="O63" t="inlineStr">
        <is>
          <t xml:space="preserve">Shipped in FIX-004-C (9b3a1c3). </t>
        </is>
      </c>
    </row>
    <row r="64">
      <c r="A64" t="inlineStr">
        <is>
          <t>RBAC-10</t>
        </is>
      </c>
      <c r="B64" t="inlineStr">
        <is>
          <t>Sprint 2.5</t>
        </is>
      </c>
      <c r="C64" t="inlineStr">
        <is>
          <t>Endpoint gate</t>
        </is>
      </c>
      <c r="D64" t="inlineStr">
        <is>
          <t>Split brain export permission</t>
        </is>
      </c>
      <c r="E64" t="inlineStr">
        <is>
          <t>POST /brain/export requires perm('brain_export') (new key) instead of perm('ask'). Accept: user with 'ask' but not 'brain_export' gets 403.</t>
        </is>
      </c>
      <c r="F64" t="inlineStr">
        <is>
          <t>P2</t>
        </is>
      </c>
      <c r="G64" t="inlineStr">
        <is>
          <t>RBAC &amp; People Audit</t>
        </is>
      </c>
      <c r="H64" t="inlineStr">
        <is>
          <t>(various)</t>
        </is>
      </c>
      <c r="I64" t="inlineStr">
        <is>
          <t>S</t>
        </is>
      </c>
      <c r="J64" s="106" t="inlineStr">
        <is>
          <t>Done</t>
        </is>
      </c>
      <c r="L64" t="inlineStr">
        <is>
          <t>2026-08-10</t>
        </is>
      </c>
      <c r="M64" t="inlineStr">
        <is>
          <t>2026-08-10</t>
        </is>
      </c>
      <c r="N64" t="inlineStr">
        <is>
          <t>No</t>
        </is>
      </c>
      <c r="O64" t="inlineStr">
        <is>
          <t xml:space="preserve">Shipped in FIX-004-C (9b3a1c3). </t>
        </is>
      </c>
    </row>
    <row r="65">
      <c r="A65" t="inlineStr">
        <is>
          <t>RBAC-11</t>
        </is>
      </c>
      <c r="B65" t="inlineStr">
        <is>
          <t>Sprint 2.5</t>
        </is>
      </c>
      <c r="C65" t="inlineStr">
        <is>
          <t>Endpoint gate</t>
        </is>
      </c>
      <c r="D65" t="inlineStr">
        <is>
          <t>Gate memory write on perm(brain)</t>
        </is>
      </c>
      <c r="E65" t="inlineStr">
        <is>
          <t>POST /memory is auth-only. Restrict to perm('brain'). Accept: memory list still readable by all, write gated.</t>
        </is>
      </c>
      <c r="F65" t="inlineStr">
        <is>
          <t>P2</t>
        </is>
      </c>
      <c r="G65" t="inlineStr">
        <is>
          <t>RBAC &amp; People Audit</t>
        </is>
      </c>
      <c r="H65" t="inlineStr">
        <is>
          <t>(various)</t>
        </is>
      </c>
      <c r="I65" t="inlineStr">
        <is>
          <t>S</t>
        </is>
      </c>
      <c r="J65" s="106" t="inlineStr">
        <is>
          <t>Done</t>
        </is>
      </c>
      <c r="L65" t="inlineStr">
        <is>
          <t>2026-08-10</t>
        </is>
      </c>
      <c r="M65" t="inlineStr">
        <is>
          <t>2026-08-10</t>
        </is>
      </c>
      <c r="N65" t="inlineStr">
        <is>
          <t>No</t>
        </is>
      </c>
      <c r="O65" t="inlineStr">
        <is>
          <t xml:space="preserve">Shipped in FIX-004-C (9b3a1c3). </t>
        </is>
      </c>
    </row>
    <row r="66">
      <c r="A66" t="inlineStr">
        <is>
          <t>RBAC-12</t>
        </is>
      </c>
      <c r="B66" t="inlineStr">
        <is>
          <t>Sprint 2.5</t>
        </is>
      </c>
      <c r="C66" t="inlineStr">
        <is>
          <t>Data model</t>
        </is>
      </c>
      <c r="D66" t="inlineStr">
        <is>
          <t>Email-per-tenant uniqueness (kill global unique)</t>
        </is>
      </c>
      <c r="E66" t="inlineStr">
        <is>
          <t>Move email uniqueness from `users.email` global unique to compound `(tenant_id, email)`. Register + login flow accept optional tenant hint the same way FIX-003-A did for phones (single-tenant fast path + ambiguity picker for multi-tenant email). Migration ledger entry. Accept: same email registered in 2 workspaces works; login prompts workspace picker.</t>
        </is>
      </c>
      <c r="F66" t="inlineStr">
        <is>
          <t>P0</t>
        </is>
      </c>
      <c r="G66" t="inlineStr">
        <is>
          <t>RBAC &amp; People Audit</t>
        </is>
      </c>
      <c r="H66" t="inlineStr">
        <is>
          <t>(various)</t>
        </is>
      </c>
      <c r="I66" t="inlineStr">
        <is>
          <t>L</t>
        </is>
      </c>
      <c r="J66" s="106" t="inlineStr">
        <is>
          <t>Done</t>
        </is>
      </c>
      <c r="L66" t="inlineStr">
        <is>
          <t>2026-08-10</t>
        </is>
      </c>
      <c r="M66" t="inlineStr">
        <is>
          <t>2026-08-10</t>
        </is>
      </c>
      <c r="N66" t="inlineStr">
        <is>
          <t>Yes</t>
        </is>
      </c>
      <c r="O66" t="inlineStr">
        <is>
          <t>Shipped in FIX-004-B (56399d6). Depends on RBAC-13</t>
        </is>
      </c>
    </row>
    <row r="67">
      <c r="A67" t="inlineStr">
        <is>
          <t>RBAC-13</t>
        </is>
      </c>
      <c r="B67" t="inlineStr">
        <is>
          <t>Sprint 2.5</t>
        </is>
      </c>
      <c r="C67" t="inlineStr">
        <is>
          <t>Data model</t>
        </is>
      </c>
      <c r="D67" t="inlineStr">
        <is>
          <t>Introduce memberships collection (many-to-many)</t>
        </is>
      </c>
      <c r="E67" t="inlineStr">
        <is>
          <t>New `memberships` collection: {user_id, tenant_id, role, permissions, status, invited_by, invited_at, accepted_at}. `users` collection becomes tenant-agnostic. All find_one({tenant_id, id}) become find_one via memberships. Big refactor — do it BEFORE Sprint 3 billing so plans attach to tenants not users. Accept: full test-suite passes with the new model + a user with 2 memberships can list both from /me/workspaces.</t>
        </is>
      </c>
      <c r="F67" t="inlineStr">
        <is>
          <t>P0</t>
        </is>
      </c>
      <c r="G67" t="inlineStr">
        <is>
          <t>RBAC &amp; People Audit</t>
        </is>
      </c>
      <c r="H67" t="inlineStr">
        <is>
          <t>(various)</t>
        </is>
      </c>
      <c r="I67" t="inlineStr">
        <is>
          <t>L</t>
        </is>
      </c>
      <c r="J67" s="106" t="inlineStr">
        <is>
          <t>Done</t>
        </is>
      </c>
      <c r="L67" t="inlineStr">
        <is>
          <t>2026-08-10</t>
        </is>
      </c>
      <c r="M67" t="inlineStr">
        <is>
          <t>2026-08-10</t>
        </is>
      </c>
      <c r="N67" t="inlineStr">
        <is>
          <t>Yes</t>
        </is>
      </c>
      <c r="O67" t="inlineStr">
        <is>
          <t xml:space="preserve">Shipped in FIX-004-B (56399d6). </t>
        </is>
      </c>
    </row>
    <row r="68">
      <c r="A68" t="inlineStr">
        <is>
          <t>RBAC-14</t>
        </is>
      </c>
      <c r="B68" t="inlineStr">
        <is>
          <t>Sprint 2.5</t>
        </is>
      </c>
      <c r="C68" t="inlineStr">
        <is>
          <t>Data model</t>
        </is>
      </c>
      <c r="D68" t="inlineStr">
        <is>
          <t>Per-role permission editor</t>
        </is>
      </c>
      <c r="E68" t="inlineStr">
        <is>
          <t>Store role permissions on tenant.roles[i].permissions[]. New endpoint PATCH /tenant/roles/{key}/permissions. UI on the roles admin page. Accept: editing 'warehouse_manager' to include 'finance' immediately gives every warehouse_manager finance access without touching individual users.</t>
        </is>
      </c>
      <c r="F68" t="inlineStr">
        <is>
          <t>P1</t>
        </is>
      </c>
      <c r="G68" t="inlineStr">
        <is>
          <t>RBAC &amp; People Audit</t>
        </is>
      </c>
      <c r="H68" t="inlineStr">
        <is>
          <t>(various)</t>
        </is>
      </c>
      <c r="I68" t="inlineStr">
        <is>
          <t>M</t>
        </is>
      </c>
      <c r="J68" s="106" t="inlineStr">
        <is>
          <t>Done</t>
        </is>
      </c>
      <c r="L68" t="inlineStr">
        <is>
          <t>2026-08-10</t>
        </is>
      </c>
      <c r="M68" t="inlineStr">
        <is>
          <t>2026-08-10</t>
        </is>
      </c>
      <c r="N68" t="inlineStr">
        <is>
          <t>No</t>
        </is>
      </c>
      <c r="O68" t="inlineStr">
        <is>
          <t>Shipped in FIX-004-D (f440c33). Depends on RBAC-13</t>
        </is>
      </c>
    </row>
    <row r="69">
      <c r="A69" t="inlineStr">
        <is>
          <t>RBAC-15</t>
        </is>
      </c>
      <c r="B69" t="inlineStr">
        <is>
          <t>Sprint 2.5</t>
        </is>
      </c>
      <c r="C69" t="inlineStr">
        <is>
          <t>Data model</t>
        </is>
      </c>
      <c r="D69" t="inlineStr">
        <is>
          <t>Owner exclusion list</t>
        </is>
      </c>
      <c r="E69" t="inlineStr">
        <is>
          <t>tenant.owner_exclusions[] = ['finance', 'ledger']. user_perms treats owner+exclusion as 'all perms minus exclusion'. Accept: co-founder marked with finance exclusion gets 403 on /ledger.</t>
        </is>
      </c>
      <c r="F69" t="inlineStr">
        <is>
          <t>P1</t>
        </is>
      </c>
      <c r="G69" t="inlineStr">
        <is>
          <t>RBAC &amp; People Audit</t>
        </is>
      </c>
      <c r="H69" t="inlineStr">
        <is>
          <t>(various)</t>
        </is>
      </c>
      <c r="I69" t="inlineStr">
        <is>
          <t>S</t>
        </is>
      </c>
      <c r="J69" s="106" t="inlineStr">
        <is>
          <t>Done</t>
        </is>
      </c>
      <c r="L69" t="inlineStr">
        <is>
          <t>2026-08-10</t>
        </is>
      </c>
      <c r="M69" t="inlineStr">
        <is>
          <t>2026-08-10</t>
        </is>
      </c>
      <c r="N69" t="inlineStr">
        <is>
          <t>No</t>
        </is>
      </c>
      <c r="O69" t="inlineStr">
        <is>
          <t xml:space="preserve">Shipped in FIX-004-D (f440c33). </t>
        </is>
      </c>
    </row>
    <row r="70">
      <c r="A70" t="inlineStr">
        <is>
          <t>RBAC-16</t>
        </is>
      </c>
      <c r="B70" t="inlineStr">
        <is>
          <t>Sprint 2.5</t>
        </is>
      </c>
      <c r="C70" t="inlineStr">
        <is>
          <t>Data model</t>
        </is>
      </c>
      <c r="D70" t="inlineStr">
        <is>
          <t>Fix ROLES/DEFAULT_ROLES 'production' vs 'operations'</t>
        </is>
      </c>
      <c r="E70" t="inlineStr">
        <is>
          <t>Pick one canonical name. Add migration that renames any existing 'production' role to 'operations' (or vice versa) on tenant.roles + user.role. Accept: grep finds only one canonical name; existing tenants unaffected.</t>
        </is>
      </c>
      <c r="F70" t="inlineStr">
        <is>
          <t>P1</t>
        </is>
      </c>
      <c r="G70" t="inlineStr">
        <is>
          <t>RBAC &amp; People Audit</t>
        </is>
      </c>
      <c r="H70" t="inlineStr">
        <is>
          <t>(various)</t>
        </is>
      </c>
      <c r="I70" t="inlineStr">
        <is>
          <t>S</t>
        </is>
      </c>
      <c r="J70" s="106" t="inlineStr">
        <is>
          <t>Done</t>
        </is>
      </c>
      <c r="L70" t="inlineStr">
        <is>
          <t>2026-08-10</t>
        </is>
      </c>
      <c r="M70" t="inlineStr">
        <is>
          <t>2026-08-10</t>
        </is>
      </c>
      <c r="N70" t="inlineStr">
        <is>
          <t>No</t>
        </is>
      </c>
      <c r="O70" t="inlineStr">
        <is>
          <t xml:space="preserve">Shipped in FIX-004-D (f440c33). </t>
        </is>
      </c>
    </row>
    <row r="71">
      <c r="A71" t="inlineStr">
        <is>
          <t>RBAC-17</t>
        </is>
      </c>
      <c r="B71" t="inlineStr">
        <is>
          <t>Sprint 2.5</t>
        </is>
      </c>
      <c r="C71" t="inlineStr">
        <is>
          <t>Data model</t>
        </is>
      </c>
      <c r="D71" t="inlineStr">
        <is>
          <t>'Pending invite' status on user</t>
        </is>
      </c>
      <c r="E71" t="inlineStr">
        <is>
          <t>Add user.invite_status = 'pending' | 'accepted'. Set 'pending' on create-with-invite; flip to 'accepted' on first OTP verify. GET /users returns the flag; admin UI shows a 'Pending' badge. Add resend-invite + revoke-invite endpoints. Accept: invited user shows Pending; revoked user cannot verify.</t>
        </is>
      </c>
      <c r="F71" t="inlineStr">
        <is>
          <t>P1</t>
        </is>
      </c>
      <c r="G71" t="inlineStr">
        <is>
          <t>RBAC &amp; People Audit</t>
        </is>
      </c>
      <c r="H71" t="inlineStr">
        <is>
          <t>(various)</t>
        </is>
      </c>
      <c r="I71" t="inlineStr">
        <is>
          <t>S</t>
        </is>
      </c>
      <c r="J71" s="106" t="inlineStr">
        <is>
          <t>Done</t>
        </is>
      </c>
      <c r="L71" t="inlineStr">
        <is>
          <t>2026-08-10</t>
        </is>
      </c>
      <c r="M71" t="inlineStr">
        <is>
          <t>2026-08-10</t>
        </is>
      </c>
      <c r="N71" t="inlineStr">
        <is>
          <t>No</t>
        </is>
      </c>
      <c r="O71" t="inlineStr">
        <is>
          <t xml:space="preserve">Shipped in FIX-004-E (1541439). </t>
        </is>
      </c>
    </row>
    <row r="72">
      <c r="A72" t="inlineStr">
        <is>
          <t>RBAC-18</t>
        </is>
      </c>
      <c r="B72" t="inlineStr">
        <is>
          <t>Sprint 4</t>
        </is>
      </c>
      <c r="C72" t="inlineStr">
        <is>
          <t>Data model</t>
        </is>
      </c>
      <c r="D72" t="inlineStr">
        <is>
          <t>Department/branch scope on permissions</t>
        </is>
      </c>
      <c r="E72" t="inlineStr">
        <is>
          <t>Add `branches` collection + membership.branch_id + permission modifier '[perm]:branch_X'. Blocks multi-location SMEs. Accept: Finance Manager in Store A sees zero Store B invoices.</t>
        </is>
      </c>
      <c r="F72" t="inlineStr">
        <is>
          <t>P2</t>
        </is>
      </c>
      <c r="G72" t="inlineStr">
        <is>
          <t>RBAC &amp; People Audit</t>
        </is>
      </c>
      <c r="H72" t="inlineStr">
        <is>
          <t>(various)</t>
        </is>
      </c>
      <c r="I72" t="inlineStr">
        <is>
          <t>L</t>
        </is>
      </c>
      <c r="J72" t="inlineStr">
        <is>
          <t>Backlog</t>
        </is>
      </c>
      <c r="N72" t="inlineStr">
        <is>
          <t>No</t>
        </is>
      </c>
      <c r="O72" t="inlineStr">
        <is>
          <t>Depends on RBAC-13</t>
        </is>
      </c>
    </row>
    <row r="73">
      <c r="A73" t="inlineStr">
        <is>
          <t>RBAC-19</t>
        </is>
      </c>
      <c r="B73" t="inlineStr">
        <is>
          <t>Sprint 4</t>
        </is>
      </c>
      <c r="C73" t="inlineStr">
        <is>
          <t>Data model</t>
        </is>
      </c>
      <c r="D73" t="inlineStr">
        <is>
          <t>User groups</t>
        </is>
      </c>
      <c r="E73" t="inlineStr">
        <is>
          <t>New `user_groups` collection: {tenant_id, name, member_ids, permissions[]}. user_perms merges (role) + (user override) + (union of groups). Accept: adding 'inventory' perm to 'Regional Managers' group instantly grants it to all group members.</t>
        </is>
      </c>
      <c r="F73" t="inlineStr">
        <is>
          <t>P2</t>
        </is>
      </c>
      <c r="G73" t="inlineStr">
        <is>
          <t>RBAC &amp; People Audit</t>
        </is>
      </c>
      <c r="H73" t="inlineStr">
        <is>
          <t>(various)</t>
        </is>
      </c>
      <c r="I73" t="inlineStr">
        <is>
          <t>M</t>
        </is>
      </c>
      <c r="J73" t="inlineStr">
        <is>
          <t>Backlog</t>
        </is>
      </c>
      <c r="N73" t="inlineStr">
        <is>
          <t>No</t>
        </is>
      </c>
      <c r="O73" t="inlineStr">
        <is>
          <t>Depends on RBAC-13</t>
        </is>
      </c>
    </row>
    <row r="74">
      <c r="A74" t="inlineStr">
        <is>
          <t>RBAC-20</t>
        </is>
      </c>
      <c r="B74" t="inlineStr">
        <is>
          <t>Sprint 2.5</t>
        </is>
      </c>
      <c r="C74" t="inlineStr">
        <is>
          <t>Compliance</t>
        </is>
      </c>
      <c r="D74" t="inlineStr">
        <is>
          <t>Immutable audit log (audit_log collection)</t>
        </is>
      </c>
      <c r="E74" t="inlineStr">
        <is>
          <t>New collection audit_log with append-only writes: {actor_id, actor_email, actor_ip, actor_ua, action, entity_type, entity_id, before, after, timestamp, tenant_id}. Wrap every mutating endpoint with a middleware or decorator. Read-only endpoint /admin/audit-log. Accept: deleting a decision leaves an audit row; audit rows cannot be updated/deleted via API.</t>
        </is>
      </c>
      <c r="F74" t="inlineStr">
        <is>
          <t>P0</t>
        </is>
      </c>
      <c r="G74" t="inlineStr">
        <is>
          <t>RBAC &amp; People Audit</t>
        </is>
      </c>
      <c r="H74" t="inlineStr">
        <is>
          <t>(various)</t>
        </is>
      </c>
      <c r="I74" t="inlineStr">
        <is>
          <t>M</t>
        </is>
      </c>
      <c r="J74" s="106" t="inlineStr">
        <is>
          <t>Done</t>
        </is>
      </c>
      <c r="L74" t="inlineStr">
        <is>
          <t>2026-08-10</t>
        </is>
      </c>
      <c r="M74" t="inlineStr">
        <is>
          <t>2026-08-10</t>
        </is>
      </c>
      <c r="N74" t="inlineStr">
        <is>
          <t>Yes</t>
        </is>
      </c>
      <c r="O74" t="inlineStr">
        <is>
          <t xml:space="preserve">Shipped in FIX-004-F (cc7c698). </t>
        </is>
      </c>
    </row>
    <row r="75">
      <c r="A75" t="inlineStr">
        <is>
          <t>RBAC-21</t>
        </is>
      </c>
      <c r="B75" t="inlineStr">
        <is>
          <t>Sprint 2.5</t>
        </is>
      </c>
      <c r="C75" t="inlineStr">
        <is>
          <t>UX + security</t>
        </is>
      </c>
      <c r="D75" t="inlineStr">
        <is>
          <t>/me/sessions endpoint + revoke by device</t>
        </is>
      </c>
      <c r="E75" t="inlineStr">
        <is>
          <t>Track session metadata on jti (device UA, IP, last-seen). Add GET /me/sessions returning active sessions; DELETE /me/sessions/{jti} revokes one; DELETE /me/sessions revokes ALL except current. Uses FIX-003-C session_revocation infra. Accept: user can see + revoke individual devices.</t>
        </is>
      </c>
      <c r="F75" t="inlineStr">
        <is>
          <t>P0</t>
        </is>
      </c>
      <c r="G75" t="inlineStr">
        <is>
          <t>RBAC &amp; People Audit</t>
        </is>
      </c>
      <c r="H75" t="inlineStr">
        <is>
          <t>(various)</t>
        </is>
      </c>
      <c r="I75" t="inlineStr">
        <is>
          <t>M</t>
        </is>
      </c>
      <c r="J75" s="106" t="inlineStr">
        <is>
          <t>Done</t>
        </is>
      </c>
      <c r="L75" t="inlineStr">
        <is>
          <t>2026-08-10</t>
        </is>
      </c>
      <c r="M75" t="inlineStr">
        <is>
          <t>2026-08-10</t>
        </is>
      </c>
      <c r="N75" t="inlineStr">
        <is>
          <t>Yes</t>
        </is>
      </c>
      <c r="O75" t="inlineStr">
        <is>
          <t xml:space="preserve">Shipped in FIX-004-G (d95ae44). </t>
        </is>
      </c>
    </row>
    <row r="76">
      <c r="A76" t="inlineStr">
        <is>
          <t>RBAC-22</t>
        </is>
      </c>
      <c r="B76" t="inlineStr">
        <is>
          <t>Sprint 2.5</t>
        </is>
      </c>
      <c r="C76" t="inlineStr">
        <is>
          <t>UX + security</t>
        </is>
      </c>
      <c r="D76" t="inlineStr">
        <is>
          <t>Off-boarding workflow (deprovisioning wizard)</t>
        </is>
      </c>
      <c r="E76" t="inlineStr">
        <is>
          <t>POST /users/{id}/deprovision runs: revoke all sessions, reassign owned tasks to specified user, transfer in-flight decisions, mark authored contacts as reassigned, invalidate all invite tokens. Idempotent. Owner-only. Accept: after deprovision the departing user has zero owned entities.</t>
        </is>
      </c>
      <c r="F76" t="inlineStr">
        <is>
          <t>P0</t>
        </is>
      </c>
      <c r="G76" t="inlineStr">
        <is>
          <t>RBAC &amp; People Audit</t>
        </is>
      </c>
      <c r="H76" t="inlineStr">
        <is>
          <t>(various)</t>
        </is>
      </c>
      <c r="I76" t="inlineStr">
        <is>
          <t>L</t>
        </is>
      </c>
      <c r="J76" s="106" t="inlineStr">
        <is>
          <t>Done</t>
        </is>
      </c>
      <c r="L76" t="inlineStr">
        <is>
          <t>2026-08-10</t>
        </is>
      </c>
      <c r="M76" t="inlineStr">
        <is>
          <t>2026-08-10</t>
        </is>
      </c>
      <c r="N76" t="inlineStr">
        <is>
          <t>Yes</t>
        </is>
      </c>
      <c r="O76" t="inlineStr">
        <is>
          <t>Shipped in FIX-004-H (309ef84). Depends on RBAC-21</t>
        </is>
      </c>
    </row>
    <row r="77">
      <c r="A77" t="inlineStr">
        <is>
          <t>RBAC-23</t>
        </is>
      </c>
      <c r="B77" t="inlineStr">
        <is>
          <t>Sprint 3</t>
        </is>
      </c>
      <c r="C77" t="inlineStr">
        <is>
          <t>Security</t>
        </is>
      </c>
      <c r="D77" t="inlineStr">
        <is>
          <t>TOTP-based 2FA</t>
        </is>
      </c>
      <c r="E77" t="inlineStr">
        <is>
          <t>Standard pyotp-based flow: enroll (QR + secret), verify, backup codes. Second-factor on login when enabled. Recovery via email + backup code. Accept: user with 2FA enabled cannot log in with password alone.</t>
        </is>
      </c>
      <c r="F77" t="inlineStr">
        <is>
          <t>P1</t>
        </is>
      </c>
      <c r="G77" t="inlineStr">
        <is>
          <t>RBAC &amp; People Audit</t>
        </is>
      </c>
      <c r="H77" t="inlineStr">
        <is>
          <t>(various)</t>
        </is>
      </c>
      <c r="I77" t="inlineStr">
        <is>
          <t>M</t>
        </is>
      </c>
      <c r="J77" s="106" t="inlineStr">
        <is>
          <t>Done</t>
        </is>
      </c>
      <c r="L77" t="inlineStr">
        <is>
          <t>2026-08-10</t>
        </is>
      </c>
      <c r="M77" t="inlineStr">
        <is>
          <t>2026-08-10</t>
        </is>
      </c>
      <c r="N77" t="inlineStr">
        <is>
          <t>No</t>
        </is>
      </c>
      <c r="O77" t="inlineStr">
        <is>
          <t xml:space="preserve">Shipped in FIX-005-D (a8da19b). </t>
        </is>
      </c>
    </row>
    <row r="78">
      <c r="A78" t="inlineStr">
        <is>
          <t>RBAC-24</t>
        </is>
      </c>
      <c r="B78" t="inlineStr">
        <is>
          <t>Sprint 3</t>
        </is>
      </c>
      <c r="C78" t="inlineStr">
        <is>
          <t>UX</t>
        </is>
      </c>
      <c r="D78" t="inlineStr">
        <is>
          <t>Ownership transfer flow</t>
        </is>
      </c>
      <c r="E78" t="inlineStr">
        <is>
          <t>POST /tenant/transfer-ownership {new_owner_user_id}: promote target to owner, demote current to specified role, cascade billing rebind. Requires 2FA confirm from current owner. Accept: last owner promoted successfully, previous owner remains as employee.</t>
        </is>
      </c>
      <c r="F78" t="inlineStr">
        <is>
          <t>P1</t>
        </is>
      </c>
      <c r="G78" t="inlineStr">
        <is>
          <t>RBAC &amp; People Audit</t>
        </is>
      </c>
      <c r="H78" t="inlineStr">
        <is>
          <t>(various)</t>
        </is>
      </c>
      <c r="I78" t="inlineStr">
        <is>
          <t>M</t>
        </is>
      </c>
      <c r="J78" s="106" t="inlineStr">
        <is>
          <t>Done</t>
        </is>
      </c>
      <c r="L78" t="inlineStr">
        <is>
          <t>2026-08-10</t>
        </is>
      </c>
      <c r="M78" t="inlineStr">
        <is>
          <t>2026-08-10</t>
        </is>
      </c>
      <c r="N78" t="inlineStr">
        <is>
          <t>No</t>
        </is>
      </c>
      <c r="O78" t="inlineStr">
        <is>
          <t>Shipped in FIX-005-D (a8da19b). Depends on RBAC-13</t>
        </is>
      </c>
    </row>
    <row r="79">
      <c r="A79" t="inlineStr">
        <is>
          <t>RBAC-25</t>
        </is>
      </c>
      <c r="B79" t="inlineStr">
        <is>
          <t>Sprint 3</t>
        </is>
      </c>
      <c r="C79" t="inlineStr">
        <is>
          <t>Compliance</t>
        </is>
      </c>
      <c r="D79" t="inlineStr">
        <is>
          <t>Consent tracking for AI features (DPDP)</t>
        </is>
      </c>
      <c r="E79" t="inlineStr">
        <is>
          <t>tenant.ai_consent = {granted_at, granted_by_user_id, ip, ua, version}. Show a first-run modal 'DecisionOS uses AI (Anthropic) to process operational data. Consent required.' Gate all AI endpoints on tenant.ai_consent. Log revocations. Accept: fresh tenant cannot use /ask until consent granted.</t>
        </is>
      </c>
      <c r="F79" t="inlineStr">
        <is>
          <t>P1</t>
        </is>
      </c>
      <c r="G79" t="inlineStr">
        <is>
          <t>RBAC &amp; People Audit</t>
        </is>
      </c>
      <c r="H79" t="inlineStr">
        <is>
          <t>(various)</t>
        </is>
      </c>
      <c r="I79" t="inlineStr">
        <is>
          <t>M</t>
        </is>
      </c>
      <c r="J79" s="106" t="inlineStr">
        <is>
          <t>Done</t>
        </is>
      </c>
      <c r="L79" t="inlineStr">
        <is>
          <t>2026-08-10</t>
        </is>
      </c>
      <c r="M79" t="inlineStr">
        <is>
          <t>2026-08-10</t>
        </is>
      </c>
      <c r="N79" t="inlineStr">
        <is>
          <t>No</t>
        </is>
      </c>
      <c r="O79" t="inlineStr">
        <is>
          <t xml:space="preserve">Shipped in FIX-005-C (4115624). </t>
        </is>
      </c>
    </row>
    <row r="80">
      <c r="A80" t="inlineStr">
        <is>
          <t>RBAC-26</t>
        </is>
      </c>
      <c r="B80" t="inlineStr">
        <is>
          <t>Sprint 4</t>
        </is>
      </c>
      <c r="C80" t="inlineStr">
        <is>
          <t>UX</t>
        </is>
      </c>
      <c r="D80" t="inlineStr">
        <is>
          <t>Approval delegation ('acting-as')</t>
        </is>
      </c>
      <c r="E80" t="inlineStr">
        <is>
          <t>user.acting_as: {delegate_user_id, from, to}. When present, approvals routed to `delegate_user_id`. Combines with leaves. Accept: on-leave approver's tasks auto-route to their delegate; badge shows 'Acting for X'.</t>
        </is>
      </c>
      <c r="F80" t="inlineStr">
        <is>
          <t>P2</t>
        </is>
      </c>
      <c r="G80" t="inlineStr">
        <is>
          <t>RBAC &amp; People Audit</t>
        </is>
      </c>
      <c r="H80" t="inlineStr">
        <is>
          <t>(various)</t>
        </is>
      </c>
      <c r="I80" t="inlineStr">
        <is>
          <t>M</t>
        </is>
      </c>
      <c r="J80" t="inlineStr">
        <is>
          <t>Backlog</t>
        </is>
      </c>
      <c r="N80" t="inlineStr">
        <is>
          <t>No</t>
        </is>
      </c>
    </row>
    <row r="81">
      <c r="A81" t="inlineStr">
        <is>
          <t>RBAC-27</t>
        </is>
      </c>
      <c r="B81" t="inlineStr">
        <is>
          <t>Sprint 4</t>
        </is>
      </c>
      <c r="C81" t="inlineStr">
        <is>
          <t>UX</t>
        </is>
      </c>
      <c r="D81" t="inlineStr">
        <is>
          <t>Time-bounded elevated permissions</t>
        </is>
      </c>
      <c r="E81" t="inlineStr">
        <is>
          <t>membership.temp_grants[] = [{perm, granted_by, expires_at, reason}]. Bootstrap TTL sweep to auto-revoke. Audit log entry on grant + revoke. Accept: contractor gets 'finance' perm for 30 days, auto-revoked.</t>
        </is>
      </c>
      <c r="F81" t="inlineStr">
        <is>
          <t>P2</t>
        </is>
      </c>
      <c r="G81" t="inlineStr">
        <is>
          <t>RBAC &amp; People Audit</t>
        </is>
      </c>
      <c r="H81" t="inlineStr">
        <is>
          <t>(various)</t>
        </is>
      </c>
      <c r="I81" t="inlineStr">
        <is>
          <t>M</t>
        </is>
      </c>
      <c r="J81" t="inlineStr">
        <is>
          <t>Backlog</t>
        </is>
      </c>
      <c r="N81" t="inlineStr">
        <is>
          <t>No</t>
        </is>
      </c>
      <c r="O81" t="inlineStr">
        <is>
          <t>Depends on RBAC-13</t>
        </is>
      </c>
    </row>
    <row r="82">
      <c r="A82" t="inlineStr">
        <is>
          <t>RBAC-28</t>
        </is>
      </c>
      <c r="B82" t="inlineStr">
        <is>
          <t>Sprint 4</t>
        </is>
      </c>
      <c r="C82" t="inlineStr">
        <is>
          <t>Auth</t>
        </is>
      </c>
      <c r="D82" t="inlineStr">
        <is>
          <t>SSO (Google + Microsoft OAuth)</t>
        </is>
      </c>
      <c r="E82" t="inlineStr">
        <is>
          <t>Add /auth/oauth/{provider}/start + callback. Map OAuth email to user via membership lookup. Handle first-time users (auto-provision if tenant allows). Accept: user with matching email can sign in with Google.</t>
        </is>
      </c>
      <c r="F82" t="inlineStr">
        <is>
          <t>P2</t>
        </is>
      </c>
      <c r="G82" t="inlineStr">
        <is>
          <t>RBAC &amp; People Audit</t>
        </is>
      </c>
      <c r="H82" t="inlineStr">
        <is>
          <t>(various)</t>
        </is>
      </c>
      <c r="I82" t="inlineStr">
        <is>
          <t>L</t>
        </is>
      </c>
      <c r="J82" t="inlineStr">
        <is>
          <t>Backlog</t>
        </is>
      </c>
      <c r="N82" t="inlineStr">
        <is>
          <t>No</t>
        </is>
      </c>
      <c r="O82" t="inlineStr">
        <is>
          <t>Depends on RBAC-12</t>
        </is>
      </c>
    </row>
    <row r="83">
      <c r="A83" t="inlineStr">
        <is>
          <t>RBAC-29</t>
        </is>
      </c>
      <c r="B83" t="inlineStr">
        <is>
          <t>Sprint 4</t>
        </is>
      </c>
      <c r="C83" t="inlineStr">
        <is>
          <t>Programmatic</t>
        </is>
      </c>
      <c r="D83" t="inlineStr">
        <is>
          <t>Per-user API keys</t>
        </is>
      </c>
      <c r="E83" t="inlineStr">
        <is>
          <t>New api_keys collection: {user_id, tenant_id, name, prefix, hash, scopes, created_at, last_used_at}. UI to create/revoke. Bearer-token auth reads api_key instead of JWT. Rate limits per key. Accept: script hits /tasks with key, works, revoke kills it.</t>
        </is>
      </c>
      <c r="F83" t="inlineStr">
        <is>
          <t>P2</t>
        </is>
      </c>
      <c r="G83" t="inlineStr">
        <is>
          <t>RBAC &amp; People Audit</t>
        </is>
      </c>
      <c r="H83" t="inlineStr">
        <is>
          <t>(various)</t>
        </is>
      </c>
      <c r="I83" t="inlineStr">
        <is>
          <t>M</t>
        </is>
      </c>
      <c r="J83" t="inlineStr">
        <is>
          <t>Backlog</t>
        </is>
      </c>
      <c r="N83" t="inlineStr">
        <is>
          <t>No</t>
        </is>
      </c>
    </row>
    <row r="84">
      <c r="A84" t="inlineStr">
        <is>
          <t>RBAC-30</t>
        </is>
      </c>
      <c r="B84" t="inlineStr">
        <is>
          <t>Sprint 5</t>
        </is>
      </c>
      <c r="C84" t="inlineStr">
        <is>
          <t>UX</t>
        </is>
      </c>
      <c r="D84" t="inlineStr">
        <is>
          <t>Client/customer read-only portal</t>
        </is>
      </c>
      <c r="E84" t="inlineStr">
        <is>
          <t>Share a workflow (procurement order, complaint) with an external email via a signed link. Recipient sees status timeline + can add comments, no login. Accept: customer email link opens read-only page; commenting works without account.</t>
        </is>
      </c>
      <c r="F84" t="inlineStr">
        <is>
          <t>P2</t>
        </is>
      </c>
      <c r="G84" t="inlineStr">
        <is>
          <t>RBAC &amp; People Audit</t>
        </is>
      </c>
      <c r="H84" t="inlineStr">
        <is>
          <t>(various)</t>
        </is>
      </c>
      <c r="I84" t="inlineStr">
        <is>
          <t>L</t>
        </is>
      </c>
      <c r="J84" t="inlineStr">
        <is>
          <t>Backlog</t>
        </is>
      </c>
      <c r="N84" t="inlineStr">
        <is>
          <t>No</t>
        </is>
      </c>
    </row>
  </sheetData>
  <conditionalFormatting sqref="J2:J54">
    <cfRule type="cellIs" priority="1" operator="equal" dxfId="2">
      <formula>"Backlog"</formula>
    </cfRule>
    <cfRule type="cellIs" priority="2" operator="equal" dxfId="3">
      <formula>"To Do"</formula>
    </cfRule>
    <cfRule type="cellIs" priority="3" operator="equal" dxfId="4">
      <formula>"In Progress"</formula>
    </cfRule>
    <cfRule type="cellIs" priority="4" operator="equal" dxfId="5">
      <formula>"Blocked"</formula>
    </cfRule>
    <cfRule type="cellIs" priority="5" operator="equal" dxfId="6">
      <formula>"In Review"</formula>
    </cfRule>
    <cfRule type="cellIs" priority="6" operator="equal" dxfId="7">
      <formula>"Done"</formula>
    </cfRule>
  </conditionalFormatting>
  <dataValidations count="3">
    <dataValidation sqref="J2:J54" showDropDown="0" showInputMessage="0" showErrorMessage="0" allowBlank="0" type="list">
      <formula1>"Backlog,To Do,In Progress,Blocked,In Review,Done"</formula1>
    </dataValidation>
    <dataValidation sqref="B2:B54" showDropDown="0" showInputMessage="0" showErrorMessage="0" allowBlank="0" type="list">
      <formula1>"Sprint 0,Sprint 1,Sprint 2,Sprint 3,Sprint 4,Sprint 5"</formula1>
    </dataValidation>
    <dataValidation sqref="F2:F54" showDropDown="0" showInputMessage="0" showErrorMessage="0" allowBlank="0" type="list">
      <formula1>"P0,P1,P2"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22" customWidth="1" min="3" max="3"/>
    <col width="32" customWidth="1" min="4" max="4"/>
    <col width="55" customWidth="1" min="5" max="5"/>
    <col width="40" customWidth="1" min="6" max="6"/>
    <col width="40" customWidth="1" min="7" max="7"/>
    <col width="13" customWidth="1" min="8" max="8"/>
    <col width="9" customWidth="1" min="9" max="9"/>
    <col width="12" customWidth="1" min="10" max="10"/>
    <col width="12" customWidth="1" min="11" max="11"/>
    <col width="22" customWidth="1" min="12" max="12"/>
    <col width="45" customWidth="1" min="13" max="13"/>
  </cols>
  <sheetData>
    <row r="1">
      <c r="A1" s="61" t="inlineStr">
        <is>
          <t>Fix Log — every change we make, in order</t>
        </is>
      </c>
    </row>
    <row r="2">
      <c r="A2" s="15" t="inlineStr">
        <is>
          <t>Running record. Updated side-by-side after every shipped commit. Currently: 11 Done, 13 in backlog.</t>
        </is>
      </c>
    </row>
    <row r="4">
      <c r="A4" s="4" t="inlineStr">
        <is>
          <t>Modules</t>
        </is>
      </c>
    </row>
    <row r="5" ht="24" customHeight="1">
      <c r="A5" s="20" t="inlineStr">
        <is>
          <t>Module</t>
        </is>
      </c>
      <c r="B5" s="20" t="inlineStr">
        <is>
          <t>Name</t>
        </is>
      </c>
      <c r="C5" s="20" t="inlineStr">
        <is>
          <t>What it delivers</t>
        </is>
      </c>
      <c r="D5" s="20" t="inlineStr">
        <is>
          <t>Priority</t>
        </is>
      </c>
      <c r="E5" s="20" t="inlineStr">
        <is>
          <t>Status</t>
        </is>
      </c>
    </row>
    <row r="6" ht="75" customHeight="1">
      <c r="A6" s="94" t="inlineStr">
        <is>
          <t>Module 1</t>
        </is>
      </c>
      <c r="B6" s="95" t="inlineStr">
        <is>
          <t>Multi-tenant / Dynamic Workflows</t>
        </is>
      </c>
      <c r="C6" s="95" t="inlineStr">
        <is>
          <t>DONE. 6 fixes shipped: dynamic per-tenant workflow approval, workflow&lt;-&gt;Finance link, tenant-scoped safety helpers, onboarding drafts + AI status tracking, complete tenant deletion (DPDP/GDPR), dynamic terminal stages. Non-textile tenants get their full lifecycle end-to-end.</t>
        </is>
      </c>
      <c r="D6" s="95" t="inlineStr">
        <is>
          <t>P0 for selling to any small business that isn't a textile manufacturer.</t>
        </is>
      </c>
      <c r="E6" s="95" t="inlineStr">
        <is>
          <t>6/6 shipped.</t>
        </is>
      </c>
    </row>
    <row r="7" ht="75" customHeight="1">
      <c r="A7" s="94" t="inlineStr">
        <is>
          <t>Module 2</t>
        </is>
      </c>
      <c r="B7" s="95" t="inlineStr">
        <is>
          <t>Sprint 1 — Scale &amp; Ops</t>
        </is>
      </c>
      <c r="C7" s="95" t="inlineStr">
        <is>
          <t>DONE. 6 fixes shipped: phone index (kills full-collection scans), LLM timeouts + concurrency semaphore, migration ledger, distributed leader lock (multi-replica-safe scheduler), obj_store for all uploads, and Dockerfile + Procfile with production-grade signal handling + healthcheck.</t>
        </is>
      </c>
      <c r="D7" s="95" t="inlineStr">
        <is>
          <t>Turns 'runs in Sharma demo' into 'survives 100 tenants under real load.'</t>
        </is>
      </c>
      <c r="E7" s="105" t="inlineStr">
        <is>
          <t>6/6 shipped. Sprint 1 COMPLETE.</t>
        </is>
      </c>
    </row>
    <row r="8">
      <c r="A8" t="inlineStr">
        <is>
          <t>Module 3</t>
        </is>
      </c>
      <c r="B8" t="inlineStr">
        <is>
          <t>Sprint 2 – Tenancy &amp; Data</t>
        </is>
      </c>
      <c r="C8" t="inlineStr">
        <is>
          <t>DONE. 12/12 shipped: tenant helpers (FIX-001-C), TENANT_COLLECTIONS wipe (FIX-001-E), OTP+WhatsApp tenant scoping (FIX-003-A), hygiene batch (FIX-003-B), JWT revocation + contact rename + AI regen status (FIX-003-C), email verification + password reset (FIX-003-D).</t>
        </is>
      </c>
      <c r="D8" t="inlineStr">
        <is>
          <t>P0 tenancy bugs closed. Remaining are hardening (session invalidation, email verification, dead index cleanup, denormalized-name staleness) — not blockers for a controlled beta but recommended before wider rollout.</t>
        </is>
      </c>
      <c r="E8" s="106" t="inlineStr">
        <is>
          <t>12/12 shipped. Sprint 2 COMPLETE.</t>
        </is>
      </c>
    </row>
    <row r="9">
      <c r="A9" s="4" t="inlineStr">
        <is>
          <t>Fix Log entries</t>
        </is>
      </c>
    </row>
    <row r="10" ht="30" customHeight="1">
      <c r="A10" s="62" t="inlineStr">
        <is>
          <t>Fix ID</t>
        </is>
      </c>
      <c r="B10" s="62" t="inlineStr">
        <is>
          <t>Module</t>
        </is>
      </c>
      <c r="C10" s="62" t="inlineStr">
        <is>
          <t>Backlog ID</t>
        </is>
      </c>
      <c r="D10" s="62" t="inlineStr">
        <is>
          <t>Title</t>
        </is>
      </c>
      <c r="E10" s="62" t="inlineStr">
        <is>
          <t>Description</t>
        </is>
      </c>
      <c r="F10" s="62" t="inlineStr">
        <is>
          <t>Files touched</t>
        </is>
      </c>
      <c r="G10" s="62" t="inlineStr">
        <is>
          <t>Related tests</t>
        </is>
      </c>
      <c r="H10" s="63" t="inlineStr">
        <is>
          <t>Status</t>
        </is>
      </c>
      <c r="I10" s="62" t="inlineStr">
        <is>
          <t>Priority</t>
        </is>
      </c>
      <c r="J10" s="63" t="inlineStr">
        <is>
          <t>Started</t>
        </is>
      </c>
      <c r="K10" s="63" t="inlineStr">
        <is>
          <t>Finished</t>
        </is>
      </c>
      <c r="L10" s="63" t="inlineStr">
        <is>
          <t>PR / Commit</t>
        </is>
      </c>
      <c r="M10" s="63" t="inlineStr">
        <is>
          <t>Notes / gotchas</t>
        </is>
      </c>
    </row>
    <row r="11" ht="105" customHeight="1">
      <c r="A11" s="103" t="inlineStr">
        <is>
          <t>FIX-001-A</t>
        </is>
      </c>
      <c r="B11" s="103" t="inlineStr">
        <is>
          <t>Multi-tenant / Dynamic Workflows</t>
        </is>
      </c>
      <c r="C11" s="103" t="inlineStr">
        <is>
          <t>S1-06</t>
        </is>
      </c>
      <c r="D11" s="22" t="inlineStr">
        <is>
          <t>Kill purchase_payment textile hardcode</t>
        </is>
      </c>
      <c r="E11" s="22" t="inlineStr">
        <is>
          <t>Owner-approval loop + dashboard + payment-overdue alerts filtered on the literal 'purchase_payment' string — silently broke for non-textile tenants. Fix uses per-tenant pipeline lookup.</t>
        </is>
      </c>
      <c r="F11" s="22" t="inlineStr">
        <is>
          <t>routers/decisions.py:166; server.py:2429; routers/brief.py:95,98,238,262</t>
        </is>
      </c>
      <c r="G11" s="22" t="inlineStr">
        <is>
          <t>tests/test_workflows_dynamic.py — 19 tests</t>
        </is>
      </c>
      <c r="H11" s="101" t="inlineStr">
        <is>
          <t>Done</t>
        </is>
      </c>
      <c r="I11" s="36" t="inlineStr">
        <is>
          <t>P0</t>
        </is>
      </c>
      <c r="J11" s="103" t="inlineStr">
        <is>
          <t>2026-08-04</t>
        </is>
      </c>
      <c r="K11" s="103" t="inlineStr">
        <is>
          <t>2026-08-04</t>
        </is>
      </c>
      <c r="L11" s="103" t="inlineStr">
        <is>
          <t>cb84474 + 69f4ce3</t>
        </is>
      </c>
      <c r="M11" s="22" t="inlineStr">
        <is>
          <t>First unblock for selling to any small business that isn't a manufacturer.</t>
        </is>
      </c>
    </row>
    <row r="12" ht="105" customHeight="1">
      <c r="A12" s="103" t="inlineStr">
        <is>
          <t>FIX-001-B</t>
        </is>
      </c>
      <c r="B12" s="103" t="inlineStr">
        <is>
          <t>Multi-tenant / Dynamic Workflows</t>
        </is>
      </c>
      <c r="C12" s="103" t="inlineStr">
        <is>
          <t>(discovered mid-fix)</t>
        </is>
      </c>
      <c r="D12" s="22" t="inlineStr">
        <is>
          <t>Wire workflow -&gt; Finance auto-expense on procurement completion</t>
        </is>
      </c>
      <c r="E12" s="22" t="inlineStr">
        <is>
          <t>Workflow terminal-stage advance auto-creates a pending-bill expense in Finance linked to the workflow. Notifies finance role. Idempotent, fire-and-forget.</t>
        </is>
      </c>
      <c r="F12" s="22" t="inlineStr">
        <is>
          <t>server.py:2236; routers/ledger.py:222</t>
        </is>
      </c>
      <c r="G12" s="22" t="inlineStr">
        <is>
          <t>tests/test_workflow_finance_link.py — 17 tests</t>
        </is>
      </c>
      <c r="H12" s="101" t="inlineStr">
        <is>
          <t>Done</t>
        </is>
      </c>
      <c r="I12" s="38" t="inlineStr">
        <is>
          <t>P1</t>
        </is>
      </c>
      <c r="J12" s="103" t="inlineStr">
        <is>
          <t>2026-08-04</t>
        </is>
      </c>
      <c r="K12" s="103" t="inlineStr">
        <is>
          <t>2026-08-09</t>
        </is>
      </c>
      <c r="L12" s="103" t="inlineStr">
        <is>
          <t>98d0291</t>
        </is>
      </c>
      <c r="M12" s="22" t="inlineStr">
        <is>
          <t>Founder no longer records purchases twice. Bill upload -&gt; OCR promotion flow is a follow-up.</t>
        </is>
      </c>
    </row>
    <row r="13" ht="105" customHeight="1">
      <c r="A13" s="103" t="inlineStr">
        <is>
          <t>FIX-001-C</t>
        </is>
      </c>
      <c r="B13" s="103" t="inlineStr">
        <is>
          <t>Multi-tenant / Data Integrity</t>
        </is>
      </c>
      <c r="C13" s="103" t="inlineStr">
        <is>
          <t>S2-01</t>
        </is>
      </c>
      <c r="D13" s="22" t="inlineStr">
        <is>
          <t>Add tenant-scoped safety helpers (_ensure_owned)</t>
        </is>
      </c>
      <c r="E13" s="22" t="inlineStr">
        <is>
          <t>Every update_one/delete_* now routed through services/tenancy.py::tenant_filter() which pins BOTH id AND tenant_id. Python TypeError blocks smuggling different tenant_id via extras.</t>
        </is>
      </c>
      <c r="F13" s="22" t="inlineStr">
        <is>
          <t>services/tenancy.py (new); ~25 sites across routers + server.py</t>
        </is>
      </c>
      <c r="G13" s="22" t="inlineStr">
        <is>
          <t>tests/test_tenancy_helpers.py — 16 tests</t>
        </is>
      </c>
      <c r="H13" s="101" t="inlineStr">
        <is>
          <t>Done</t>
        </is>
      </c>
      <c r="I13" s="38" t="inlineStr">
        <is>
          <t>P1</t>
        </is>
      </c>
      <c r="J13" s="103" t="inlineStr">
        <is>
          <t>2026-08-04</t>
        </is>
      </c>
      <c r="K13" s="103" t="inlineStr">
        <is>
          <t>2026-08-09</t>
        </is>
      </c>
      <c r="L13" s="103" t="inlineStr">
        <is>
          <t>da29cfd</t>
        </is>
      </c>
      <c r="M13" s="22" t="inlineStr">
        <is>
          <t>Grep found 25+ sites vs. audit's 13. Discipline lesson: always grep AFTER refactor.</t>
        </is>
      </c>
    </row>
    <row r="14" ht="105" customHeight="1">
      <c r="A14" s="103" t="inlineStr">
        <is>
          <t>FIX-001-D</t>
        </is>
      </c>
      <c r="B14" s="103" t="inlineStr">
        <is>
          <t>Multi-tenant / Onboarding</t>
        </is>
      </c>
      <c r="C14" s="103" t="inlineStr">
        <is>
          <t>S1-04 partial + new</t>
        </is>
      </c>
      <c r="D14" s="22" t="inlineStr">
        <is>
          <t>Onboarding drafts + AI status tracking + retry endpoint</t>
        </is>
      </c>
      <c r="E14" s="22" t="inlineStr">
        <is>
          <t>Two gaps closed: silent AI degradation (ai_setup_status per generator + regenerate endpoint) and data loss on failure (onboarding_drafts persist each wizard step).</t>
        </is>
      </c>
      <c r="F14" s="22" t="inlineStr">
        <is>
          <t>services/ai_setup.py + services/onboarding_drafts.py (new); +5 endpoints</t>
        </is>
      </c>
      <c r="G14" s="22" t="inlineStr">
        <is>
          <t>tests/test_onboarding_flow.py — 27 tests</t>
        </is>
      </c>
      <c r="H14" s="101" t="inlineStr">
        <is>
          <t>Done</t>
        </is>
      </c>
      <c r="I14" s="38" t="inlineStr">
        <is>
          <t>P1</t>
        </is>
      </c>
      <c r="J14" s="103" t="inlineStr">
        <is>
          <t>2026-08-09</t>
        </is>
      </c>
      <c r="K14" s="103" t="inlineStr">
        <is>
          <t>2026-08-09</t>
        </is>
      </c>
      <c r="L14" s="103" t="inlineStr">
        <is>
          <t>3bc0059</t>
        </is>
      </c>
      <c r="M14" s="22" t="inlineStr">
        <is>
          <t>Idempotent-register (Comprehensive-scope 3e) and onboarding_drafts TTL deferred.</t>
        </is>
      </c>
    </row>
    <row r="15" ht="105" customHeight="1">
      <c r="A15" s="103" t="inlineStr">
        <is>
          <t>FIX-001-E</t>
        </is>
      </c>
      <c r="B15" s="103" t="inlineStr">
        <is>
          <t>Multi-tenant / Data Integrity</t>
        </is>
      </c>
      <c r="C15" s="103" t="inlineStr">
        <is>
          <t>S2-02</t>
        </is>
      </c>
      <c r="D15" s="22" t="inlineStr">
        <is>
          <t>Complete TENANT_COLLECTIONS wipe + file deletion (DPDP/GDPR)</t>
        </is>
      </c>
      <c r="E15" s="22" t="inlineStr">
        <is>
          <t>TENANT_COLLECTIONS grown to 30 (was missing brain_context + brain_documents). Now also iterates db.files and deletes each object from storage before wiping.</t>
        </is>
      </c>
      <c r="F15" s="22" t="inlineStr">
        <is>
          <t>routers/admin.py; services/obj_store.py::delete_object (new)</t>
        </is>
      </c>
      <c r="G15" s="22" t="inlineStr">
        <is>
          <t>tests/test_tenant_deletion.py — 8 tests (incl. drift-detection)</t>
        </is>
      </c>
      <c r="H15" s="101" t="inlineStr">
        <is>
          <t>Done</t>
        </is>
      </c>
      <c r="I15" s="38" t="inlineStr">
        <is>
          <t>P1</t>
        </is>
      </c>
      <c r="J15" s="103" t="inlineStr">
        <is>
          <t>2026-08-04</t>
        </is>
      </c>
      <c r="K15" s="103" t="inlineStr">
        <is>
          <t>2026-08-04</t>
        </is>
      </c>
      <c r="L15" s="103" t="inlineStr">
        <is>
          <t>65cea2c</t>
        </is>
      </c>
      <c r="M15" s="22" t="inlineStr">
        <is>
          <t>Legacy local-disk files depend on Sprint 1 S1-03 to move all uploads to obj_store.</t>
        </is>
      </c>
    </row>
    <row r="16" ht="105" customHeight="1">
      <c r="A16" s="103" t="inlineStr">
        <is>
          <t>FIX-001-F</t>
        </is>
      </c>
      <c r="B16" s="103" t="inlineStr">
        <is>
          <t>Multi-tenant / Dynamic Workflows</t>
        </is>
      </c>
      <c r="C16" s="103" t="inlineStr">
        <is>
          <t>WF-3</t>
        </is>
      </c>
      <c r="D16" s="22" t="inlineStr">
        <is>
          <t>Dynamic pipeline terminal stages ('active workflows' stops climbing forever)</t>
        </is>
      </c>
      <c r="E16" s="22" t="inlineStr">
        <is>
          <t>4 places hardcoded ['delivered','paid'] as terminal stages. New services/workflows.py::all_terminal_stages(om) + legacy hedge. All 4 sites now use dynamic exclusion.</t>
        </is>
      </c>
      <c r="F16" s="22" t="inlineStr">
        <is>
          <t>services/workflows.py; server.py:2500, :3697, :3745, :3911</t>
        </is>
      </c>
      <c r="G16" s="22" t="inlineStr">
        <is>
          <t>tests/test_workflows_dynamic.py — 12 additional tests</t>
        </is>
      </c>
      <c r="H16" s="101" t="inlineStr">
        <is>
          <t>Done</t>
        </is>
      </c>
      <c r="I16" s="42" t="inlineStr">
        <is>
          <t>P2</t>
        </is>
      </c>
      <c r="J16" s="103" t="inlineStr">
        <is>
          <t>2026-08-09</t>
        </is>
      </c>
      <c r="K16" s="103" t="inlineStr">
        <is>
          <t>2026-08-09</t>
        </is>
      </c>
      <c r="L16" s="103" t="inlineStr">
        <is>
          <t>8235c61</t>
        </is>
      </c>
      <c r="M16" s="22" t="inlineStr">
        <is>
          <t>Calendar deliveries also hardcodes pipeline TYPES - see FIX-FUP-09.</t>
        </is>
      </c>
    </row>
    <row r="17" ht="105" customHeight="1">
      <c r="A17" s="103" t="inlineStr">
        <is>
          <t>FIX-002-A</t>
        </is>
      </c>
      <c r="B17" s="103" t="inlineStr">
        <is>
          <t>Sprint 1 / Scale &amp; Ops</t>
        </is>
      </c>
      <c r="C17" s="103" t="inlineStr">
        <is>
          <t>S1-02</t>
        </is>
      </c>
      <c r="D17" s="22" t="inlineStr">
        <is>
          <t>Phone index + kill full-collection scans on OTP + WhatsApp routing</t>
        </is>
      </c>
      <c r="E17" s="22" t="inlineStr">
        <is>
          <t>3 hot paths (OTP request, OTP verify, resolve_wa_tenant) ran full-collection scans over db.users on every call, capped at 2000/5000 users (silent lockout beyond). Fix indexes new phone_norm field; hot paths become exact-match lookups. Bootstrap includes idempotent backfill for existing users.</t>
        </is>
      </c>
      <c r="F17" s="22" t="inlineStr">
        <is>
          <t>services/phone.py (new); server.py bootstrap + 3 hot paths; routers/auth.py; routers/team.py</t>
        </is>
      </c>
      <c r="G17" s="22" t="inlineStr">
        <is>
          <t>tests/test_phone_indexed_lookup.py — 16 tests (parity, query shape, no-cap guard)</t>
        </is>
      </c>
      <c r="H17" s="101" t="inlineStr">
        <is>
          <t>Done</t>
        </is>
      </c>
      <c r="I17" s="36" t="inlineStr">
        <is>
          <t>P0</t>
        </is>
      </c>
      <c r="J17" s="103" t="inlineStr">
        <is>
          <t>2026-08-09</t>
        </is>
      </c>
      <c r="K17" s="103" t="inlineStr">
        <is>
          <t>2026-08-09</t>
        </is>
      </c>
      <c r="L17" s="103" t="inlineStr">
        <is>
          <t>e21a9b3</t>
        </is>
      </c>
      <c r="M17" s="22" t="inlineStr">
        <is>
          <t>Existing OTP hashes still verify (parity-tested). server.py:4623 (per-tenant scan) noted but out of scope.</t>
        </is>
      </c>
    </row>
    <row r="18" ht="105" customHeight="1">
      <c r="A18" s="103" t="inlineStr">
        <is>
          <t>FIX-002-B</t>
        </is>
      </c>
      <c r="B18" s="103" t="inlineStr">
        <is>
          <t>Sprint 1 / Scale &amp; Ops</t>
        </is>
      </c>
      <c r="C18" s="103" t="inlineStr">
        <is>
          <t>S1-05</t>
        </is>
      </c>
      <c r="D18" s="22" t="inlineStr">
        <is>
          <t>LLM call timeouts + concurrency semaphore</t>
        </is>
      </c>
      <c r="E18" s="22" t="inlineStr">
        <is>
          <t>One shared Anthropic key + no timeout + no concurrency cap = 50 concurrent voice captures cascade into 429s and unbounded latency. New services/llm_limits.py::guarded_llm wraps every LLM call with asyncio.wait_for + shared semaphore. Covers _ResilientChat + 4 direct LlmChat sites.</t>
        </is>
      </c>
      <c r="F18" s="22" t="inlineStr">
        <is>
          <t>services/llm_limits.py (new); core.py::_ResilientChat; server.py (2 Gemini); routers/admin.py; routers/ledger.py</t>
        </is>
      </c>
      <c r="G18" s="22" t="inlineStr">
        <is>
          <t>tests/test_llm_limits.py — 14 tests (peak-concurrency, timeout-releases-slot, exception-releases-slot)</t>
        </is>
      </c>
      <c r="H18" s="101" t="inlineStr">
        <is>
          <t>Done</t>
        </is>
      </c>
      <c r="I18" s="38" t="inlineStr">
        <is>
          <t>P1</t>
        </is>
      </c>
      <c r="J18" s="103" t="inlineStr">
        <is>
          <t>2026-08-09</t>
        </is>
      </c>
      <c r="K18" s="103" t="inlineStr">
        <is>
          <t>2026-08-09</t>
        </is>
      </c>
      <c r="L18" s="103" t="inlineStr">
        <is>
          <t>6b6fc25</t>
        </is>
      </c>
      <c r="M18" s="22" t="inlineStr">
        <is>
          <t>Per-process only. Cross-process rate limiting needs Redis (Sprint 3 with per-tenant keys). STT paths (Whisper/Sarvam) NOT wrapped - separate follow-up.</t>
        </is>
      </c>
    </row>
    <row r="19" ht="105" customHeight="1">
      <c r="A19" s="103" t="inlineStr">
        <is>
          <t>FIX-002-C</t>
        </is>
      </c>
      <c r="B19" s="103" t="inlineStr">
        <is>
          <t>Sprint 1 / Scale &amp; Ops</t>
        </is>
      </c>
      <c r="C19" s="103" t="inlineStr">
        <is>
          <t>(new: raised during Q&amp;A)</t>
        </is>
      </c>
      <c r="D19" s="22" t="inlineStr">
        <is>
          <t>Migration ledger for MongoDB schema changes</t>
        </is>
      </c>
      <c r="E19" s="22" t="inlineStr">
        <is>
          <t>Ad-hoc bootstrap migrations are fine for additive changes (new fields, new indexes, safe backfills) but unsafe the moment we ship a destructive migration (rename+copy+delete, data reshape). Add db.migrations_applied collection + a migrate(name, fn) helper so migrations run exactly once and non-idempotent changes are safe.</t>
        </is>
      </c>
      <c r="F19" s="22" t="inlineStr">
        <is>
          <t>services/migrations.py (new); server.py bootstrap block</t>
        </is>
      </c>
      <c r="G19" s="22" t="inlineStr">
        <is>
          <t>tests/test_migrations.py — helper contract + idempotency</t>
        </is>
      </c>
      <c r="H19" s="101" t="inlineStr">
        <is>
          <t>Done</t>
        </is>
      </c>
      <c r="I19" s="38" t="inlineStr">
        <is>
          <t>P1</t>
        </is>
      </c>
      <c r="J19" s="103" t="inlineStr">
        <is>
          <t>2026-08-09</t>
        </is>
      </c>
      <c r="K19" s="103" t="inlineStr">
        <is>
          <t>2026-08-09</t>
        </is>
      </c>
      <c r="L19" s="103" t="inlineStr">
        <is>
          <t>(this commit)</t>
        </is>
      </c>
      <c r="M19" s="22" t="inlineStr">
        <is>
          <t>Prerequisite for S1-03 (uploads migration). MongoDB doesn't need Alembic (no DDL) but does need this ledger discipline.</t>
        </is>
      </c>
    </row>
    <row r="20" ht="105" customHeight="1">
      <c r="A20" s="103" t="inlineStr">
        <is>
          <t>FIX-002-D</t>
        </is>
      </c>
      <c r="B20" s="103" t="inlineStr">
        <is>
          <t>Sprint 1 / Scale &amp; Ops</t>
        </is>
      </c>
      <c r="C20" s="103" t="inlineStr">
        <is>
          <t>S1-01</t>
        </is>
      </c>
      <c r="D20" s="22" t="inlineStr">
        <is>
          <t>Externalize the follow-up scheduler (multi-replica safe)</t>
        </is>
      </c>
      <c r="E20" s="22" t="inlineStr">
        <is>
          <t>In-process 300s loop triple-fires with 3 replicas (duplicate emails/alerts), dies with 1. Options: (a) external cron + endpoint (b) in-process with distributed leader election. Design decision needed.</t>
        </is>
      </c>
      <c r="F20" s="22" t="inlineStr">
        <is>
          <t>server.py:2765 (scheduler loop); new endpoint or external cron config</t>
        </is>
      </c>
      <c r="G20" s="22" t="inlineStr">
        <is>
          <t>tests: single-fire under multiple simulated replicas</t>
        </is>
      </c>
      <c r="H20" s="101" t="inlineStr">
        <is>
          <t>Done</t>
        </is>
      </c>
      <c r="I20" s="36" t="inlineStr">
        <is>
          <t>P0</t>
        </is>
      </c>
      <c r="J20" s="103" t="inlineStr">
        <is>
          <t>2026-08-09</t>
        </is>
      </c>
      <c r="K20" s="103" t="inlineStr">
        <is>
          <t>2026-08-09</t>
        </is>
      </c>
      <c r="L20" s="103" t="inlineStr">
        <is>
          <t>(this commit)</t>
        </is>
      </c>
      <c r="M20" s="22" t="inlineStr">
        <is>
          <t>Half-day fix. Requires design decision on external cron vs leader election.</t>
        </is>
      </c>
    </row>
    <row r="21" ht="105" customHeight="1">
      <c r="A21" s="103" t="inlineStr">
        <is>
          <t>FIX-002-E</t>
        </is>
      </c>
      <c r="B21" s="103" t="inlineStr">
        <is>
          <t>Sprint 1 / Scale &amp; Ops</t>
        </is>
      </c>
      <c r="C21" s="103" t="inlineStr">
        <is>
          <t>S1-03</t>
        </is>
      </c>
      <c r="D21" s="22" t="inlineStr">
        <is>
          <t>Migrate all uploads to obj_store (kill local-disk file storage)</t>
        </is>
      </c>
      <c r="E21" s="22" t="inlineStr">
        <is>
          <t>Voice notes, meetings, ledger uploads write to local UPLOAD_DIR — lost on restart, invisible across replicas. Route everything through obj_store with tenant-prefixed paths; delete local /api/files path. Includes migration for existing local-disk records.</t>
        </is>
      </c>
      <c r="F21" s="22" t="inlineStr">
        <is>
          <t>server.py:1739,1902,3032; ledger.py:146; obj_store integration in all 3 paths</t>
        </is>
      </c>
      <c r="G21" s="22" t="inlineStr">
        <is>
          <t>tests: upload, download, cross-replica visibility, deletion</t>
        </is>
      </c>
      <c r="H21" s="101" t="inlineStr">
        <is>
          <t>Done</t>
        </is>
      </c>
      <c r="I21" s="36" t="inlineStr">
        <is>
          <t>P0</t>
        </is>
      </c>
      <c r="J21" s="103" t="inlineStr">
        <is>
          <t>2026-08-09</t>
        </is>
      </c>
      <c r="K21" s="103" t="inlineStr">
        <is>
          <t>2026-08-09</t>
        </is>
      </c>
      <c r="L21" s="103" t="inlineStr">
        <is>
          <t>(this commit)</t>
        </is>
      </c>
      <c r="M21" s="22" t="inlineStr">
        <is>
          <t>Half-day. Depends on FIX-002-C for the migration. Also closes FIX-001-E EC8 (legacy local files for tenant deletion).</t>
        </is>
      </c>
    </row>
    <row r="22" ht="105" customHeight="1">
      <c r="A22" s="103" t="inlineStr">
        <is>
          <t>FIX-002-F</t>
        </is>
      </c>
      <c r="B22" s="103" t="inlineStr">
        <is>
          <t>Sprint 1 / Scale &amp; Ops</t>
        </is>
      </c>
      <c r="C22" s="103" t="inlineStr">
        <is>
          <t>S1-04</t>
        </is>
      </c>
      <c r="D22" s="22" t="inlineStr">
        <is>
          <t>Commit real Dockerfile + Procfile with pinned worker count + graceful shutdown</t>
        </is>
      </c>
      <c r="E22" s="22" t="inlineStr">
        <is>
          <t>No Dockerfile exists (only .emergent/emergent.yml base-image pointer). Need a real deployable Dockerfile with worker count pinned, graceful shutdown for in-flight LLM work, request-size caps.</t>
        </is>
      </c>
      <c r="F22" s="22" t="inlineStr">
        <is>
          <t>backend/Dockerfile (new); backend/Procfile (new); backend/.dockerignore (new)</t>
        </is>
      </c>
      <c r="G22" s="22" t="inlineStr">
        <is>
          <t>tests/test_dockerfile.py - 25 static contract tests (multi-stage, non-root, healthcheck, secrets, apt cleanup, Procfile parity)</t>
        </is>
      </c>
      <c r="H22" s="104" t="inlineStr">
        <is>
          <t>Done</t>
        </is>
      </c>
      <c r="I22" s="36" t="inlineStr">
        <is>
          <t>P0</t>
        </is>
      </c>
      <c r="J22" s="103" t="inlineStr">
        <is>
          <t>2026-08-09</t>
        </is>
      </c>
      <c r="K22" s="103" t="inlineStr">
        <is>
          <t>2026-08-09</t>
        </is>
      </c>
      <c r="L22" s="103" t="inlineStr">
        <is>
          <t>5a4644e</t>
        </is>
      </c>
      <c r="M22" s="22" t="inlineStr">
        <is>
          <t>Multi-stage Python 3.12-slim build. Non-root user, HEALTHCHECK via Python stdlib on /api/health, tini as PID 1, --timeout-graceful-shutdown 60 (&gt; 45s LLM cap from FIX-002-B). emergentintegrations installed from Emergent's CDN (regression guard: without extra-index-url, requirements install silently drops that package). Docker build not exercised in tests - daemon unavailable in this env; static tests cover structure + security. FIX-FUP-15 logged to wire docker build into CI. SPRINT 1 COMPLETE with this ship.</t>
        </is>
      </c>
    </row>
    <row r="23" ht="105" customHeight="1">
      <c r="A23" s="103" t="inlineStr">
        <is>
          <t>FIX-FUP-01</t>
        </is>
      </c>
      <c r="B23" s="103" t="inlineStr">
        <is>
          <t>Follow-up (from FIX-001-A)</t>
        </is>
      </c>
      <c r="C23" s="103" t="inlineStr">
        <is>
          <t>(logged during A)</t>
        </is>
      </c>
      <c r="D23" s="22" t="inlineStr">
        <is>
          <t>Delete WORKFLOW_OWNER_ROLE dead code</t>
        </is>
      </c>
      <c r="E23" s="22" t="inlineStr">
        <is>
          <t>server.py:212 defines WORKFLOW_OWNER_ROLE dict - nothing references it.</t>
        </is>
      </c>
      <c r="F23" s="22" t="inlineStr">
        <is>
          <t>server.py:212</t>
        </is>
      </c>
      <c r="G23" s="22" t="inlineStr">
        <is>
          <t>test: import check + grep for zero refs</t>
        </is>
      </c>
      <c r="H23" s="37" t="inlineStr">
        <is>
          <t>Not Started</t>
        </is>
      </c>
      <c r="I23" s="42" t="inlineStr">
        <is>
          <t>P2</t>
        </is>
      </c>
      <c r="J23" s="103" t="inlineStr"/>
      <c r="K23" s="103" t="inlineStr"/>
      <c r="L23" s="103" t="inlineStr"/>
      <c r="M23" s="22" t="inlineStr">
        <is>
          <t>Dead code cleanup.</t>
        </is>
      </c>
    </row>
    <row r="24" ht="105" customHeight="1">
      <c r="A24" s="103" t="inlineStr">
        <is>
          <t>FIX-FUP-02</t>
        </is>
      </c>
      <c r="B24" s="103" t="inlineStr">
        <is>
          <t>Follow-up (from FIX-001-A)</t>
        </is>
      </c>
      <c r="C24" s="103" t="inlineStr">
        <is>
          <t>(logged during A)</t>
        </is>
      </c>
      <c r="D24" s="22" t="inlineStr">
        <is>
          <t>Clean 'purchase_payment' from AI onboarding prompt</t>
        </is>
      </c>
      <c r="E24" s="22" t="inlineStr">
        <is>
          <t>server.py:1094,1103 - operating-model AI prompt uses 'purchase_payment' as an example. Could bias AI toward textile key.</t>
        </is>
      </c>
      <c r="F24" s="22" t="inlineStr">
        <is>
          <t>server.py:1094, 1103</t>
        </is>
      </c>
      <c r="G24" s="22" t="inlineStr">
        <is>
          <t>test: onboard non-textile tenant, assert no 'purchase_payment' in operating_model</t>
        </is>
      </c>
      <c r="H24" s="37" t="inlineStr">
        <is>
          <t>Not Started</t>
        </is>
      </c>
      <c r="I24" s="42" t="inlineStr">
        <is>
          <t>P2</t>
        </is>
      </c>
      <c r="J24" s="103" t="inlineStr"/>
      <c r="K24" s="103" t="inlineStr"/>
      <c r="L24" s="103" t="inlineStr"/>
      <c r="M24" s="22" t="inlineStr">
        <is>
          <t>Prevents textile leak from re-emerging via the prompt.</t>
        </is>
      </c>
    </row>
    <row r="25" ht="105" customHeight="1">
      <c r="A25" s="103" t="inlineStr">
        <is>
          <t>FIX-FUP-03</t>
        </is>
      </c>
      <c r="B25" s="103" t="inlineStr">
        <is>
          <t>Follow-up (from FIX-001-A)</t>
        </is>
      </c>
      <c r="C25" s="103" t="inlineStr">
        <is>
          <t>(logged during A)</t>
        </is>
      </c>
      <c r="D25" s="22" t="inlineStr">
        <is>
          <t>Memoize tenant_procurement_pipeline in brief.py</t>
        </is>
      </c>
      <c r="E25" s="22" t="inlineStr">
        <is>
          <t>Called TWICE per brief request (counter + drill-down). Minor inefficiency.</t>
        </is>
      </c>
      <c r="F25" s="22" t="inlineStr">
        <is>
          <t>routers/brief.py</t>
        </is>
      </c>
      <c r="G25" s="22" t="inlineStr">
        <is>
          <t>test: mock tenant_operating_model, assert called once</t>
        </is>
      </c>
      <c r="H25" s="37" t="inlineStr">
        <is>
          <t>Not Started</t>
        </is>
      </c>
      <c r="I25" s="42" t="inlineStr">
        <is>
          <t>P2</t>
        </is>
      </c>
      <c r="J25" s="103" t="inlineStr"/>
      <c r="K25" s="103" t="inlineStr"/>
      <c r="L25" s="103" t="inlineStr"/>
      <c r="M25" s="22" t="inlineStr">
        <is>
          <t>Small perf tidy.</t>
        </is>
      </c>
    </row>
    <row r="26" ht="105" customHeight="1">
      <c r="A26" s="103" t="inlineStr">
        <is>
          <t>FIX-FUP-04</t>
        </is>
      </c>
      <c r="B26" s="103" t="inlineStr">
        <is>
          <t>Follow-up (from FIX-001-B)</t>
        </is>
      </c>
      <c r="C26" s="103" t="inlineStr">
        <is>
          <t>(logged during B)</t>
        </is>
      </c>
      <c r="D26" s="22" t="inlineStr">
        <is>
          <t>Unique index on expenses.(tenant_id, workflow_id)</t>
        </is>
      </c>
      <c r="E26" s="22" t="inlineStr">
        <is>
          <t>Check + insert is not atomic. Rare race could double-create. Close with unique compound index.</t>
        </is>
      </c>
      <c r="F26" s="22" t="inlineStr">
        <is>
          <t>server.py bootstrap</t>
        </is>
      </c>
      <c r="G26" s="22" t="inlineStr">
        <is>
          <t>test: concurrent create_expense with same workflow_id</t>
        </is>
      </c>
      <c r="H26" s="37" t="inlineStr">
        <is>
          <t>Not Started</t>
        </is>
      </c>
      <c r="I26" s="42" t="inlineStr">
        <is>
          <t>P2</t>
        </is>
      </c>
      <c r="J26" s="103" t="inlineStr"/>
      <c r="K26" s="103" t="inlineStr"/>
      <c r="L26" s="103" t="inlineStr"/>
      <c r="M26" s="22" t="inlineStr">
        <is>
          <t>Belt-and-braces for FIX-001-B idempotency.</t>
        </is>
      </c>
    </row>
    <row r="27" ht="105" customHeight="1">
      <c r="A27" s="103" t="inlineStr">
        <is>
          <t>FIX-FUP-05</t>
        </is>
      </c>
      <c r="B27" s="103" t="inlineStr">
        <is>
          <t>Follow-up (from FIX-001-B)</t>
        </is>
      </c>
      <c r="C27" s="103" t="inlineStr">
        <is>
          <t>(logged during B)</t>
        </is>
      </c>
      <c r="D27" s="22" t="inlineStr">
        <is>
          <t>Bill upload -&gt; OCR promotion flow (Finance side)</t>
        </is>
      </c>
      <c r="E27" s="22" t="inlineStr">
        <is>
          <t>Complete the story: Finance uploads bill, OCR extracts real amount, expense flips from awaiting_bill to reconciled.</t>
        </is>
      </c>
      <c r="F27" s="22" t="inlineStr">
        <is>
          <t>routers/ledger.py + existing OCR pipeline</t>
        </is>
      </c>
      <c r="G27" s="22" t="inlineStr">
        <is>
          <t>test: mock OCR + upload + status transition</t>
        </is>
      </c>
      <c r="H27" s="37" t="inlineStr">
        <is>
          <t>Not Started</t>
        </is>
      </c>
      <c r="I27" s="38" t="inlineStr">
        <is>
          <t>P1</t>
        </is>
      </c>
      <c r="J27" s="103" t="inlineStr"/>
      <c r="K27" s="103" t="inlineStr"/>
      <c r="L27" s="103" t="inlineStr"/>
      <c r="M27" s="22" t="inlineStr">
        <is>
          <t>One-click reconciliation finish for FIX-001-B.</t>
        </is>
      </c>
    </row>
    <row r="28" ht="105" customHeight="1">
      <c r="A28" s="103" t="inlineStr">
        <is>
          <t>FIX-FUP-06</t>
        </is>
      </c>
      <c r="B28" s="103" t="inlineStr">
        <is>
          <t>Follow-up (from FIX-001-C)</t>
        </is>
      </c>
      <c r="C28" s="103" t="inlineStr">
        <is>
          <t>(logged during C)</t>
        </is>
      </c>
      <c r="D28" s="22" t="inlineStr">
        <is>
          <t>'id' footgun in tenant_filter</t>
        </is>
      </c>
      <c r="E28" s="22" t="inlineStr">
        <is>
          <t>Extras can overwrite id (though tenant scope still holds). Documented in tests; stricter version would reject.</t>
        </is>
      </c>
      <c r="F28" s="22" t="inlineStr">
        <is>
          <t>services/tenancy.py</t>
        </is>
      </c>
      <c r="G28" s="22" t="inlineStr">
        <is>
          <t>test already documents</t>
        </is>
      </c>
      <c r="H28" s="37" t="inlineStr">
        <is>
          <t>Not Started</t>
        </is>
      </c>
      <c r="I28" s="42" t="inlineStr">
        <is>
          <t>P2</t>
        </is>
      </c>
      <c r="J28" s="103" t="inlineStr"/>
      <c r="K28" s="103" t="inlineStr"/>
      <c r="L28" s="103" t="inlineStr"/>
      <c r="M28" s="22" t="inlineStr">
        <is>
          <t>Cosmetic hardening.</t>
        </is>
      </c>
    </row>
    <row r="29" ht="105" customHeight="1">
      <c r="A29" s="103" t="inlineStr">
        <is>
          <t>FIX-FUP-07</t>
        </is>
      </c>
      <c r="B29" s="103" t="inlineStr">
        <is>
          <t>Follow-up (from FIX-001-D)</t>
        </is>
      </c>
      <c r="C29" s="103" t="inlineStr">
        <is>
          <t>(logged during D)</t>
        </is>
      </c>
      <c r="D29" s="22" t="inlineStr">
        <is>
          <t>TTL index on onboarding_drafts</t>
        </is>
      </c>
      <c r="E29" s="22" t="inlineStr">
        <is>
          <t>Auto-expire ~30 days after last update. Bootstrap: create_index('updated_at', expireAfterSeconds=30*86400).</t>
        </is>
      </c>
      <c r="F29" s="22" t="inlineStr">
        <is>
          <t>server.py bootstrap</t>
        </is>
      </c>
      <c r="G29" s="22" t="inlineStr">
        <is>
          <t>test: verify index exists</t>
        </is>
      </c>
      <c r="H29" s="37" t="inlineStr">
        <is>
          <t>Not Started</t>
        </is>
      </c>
      <c r="I29" s="42" t="inlineStr">
        <is>
          <t>P2</t>
        </is>
      </c>
      <c r="J29" s="103" t="inlineStr"/>
      <c r="K29" s="103" t="inlineStr"/>
      <c r="L29" s="103" t="inlineStr"/>
      <c r="M29" s="22" t="inlineStr">
        <is>
          <t>Small bootstrap tweak.</t>
        </is>
      </c>
    </row>
    <row r="30" ht="105" customHeight="1">
      <c r="A30" s="103" t="inlineStr">
        <is>
          <t>FIX-FUP-08</t>
        </is>
      </c>
      <c r="B30" s="103" t="inlineStr">
        <is>
          <t>Follow-up (from FIX-001-D)</t>
        </is>
      </c>
      <c r="C30" s="103" t="inlineStr">
        <is>
          <t>(logged during D)</t>
        </is>
      </c>
      <c r="D30" s="22" t="inlineStr">
        <is>
          <t>Idempotent register by draft_id (Comprehensive-scope 3e)</t>
        </is>
      </c>
      <c r="E30" s="22" t="inlineStr">
        <is>
          <t>Network drop mid-register -&gt; user retries -&gt; 'Email already registered' 400. Fix: if draft completed with tenant_id, return existing session on retry.</t>
        </is>
      </c>
      <c r="F30" s="22" t="inlineStr">
        <is>
          <t>routers/auth.py::register</t>
        </is>
      </c>
      <c r="G30" s="22" t="inlineStr">
        <is>
          <t>test: register with draft_id twice, second returns existing tenant</t>
        </is>
      </c>
      <c r="H30" s="37" t="inlineStr">
        <is>
          <t>Not Started</t>
        </is>
      </c>
      <c r="I30" s="38" t="inlineStr">
        <is>
          <t>P1</t>
        </is>
      </c>
      <c r="J30" s="103" t="inlineStr"/>
      <c r="K30" s="103" t="inlineStr"/>
      <c r="L30" s="103" t="inlineStr"/>
      <c r="M30" s="22" t="inlineStr">
        <is>
          <t>Closes the last onboarding-flow paper cut.</t>
        </is>
      </c>
    </row>
    <row r="31" ht="105" customHeight="1">
      <c r="A31" s="103" t="inlineStr">
        <is>
          <t>FIX-FUP-09</t>
        </is>
      </c>
      <c r="B31" s="103" t="inlineStr">
        <is>
          <t>Follow-up (from FIX-001-F)</t>
        </is>
      </c>
      <c r="C31" s="103" t="inlineStr">
        <is>
          <t>(logged during F)</t>
        </is>
      </c>
      <c r="D31" s="22" t="inlineStr">
        <is>
          <t>tenant_sales_pipeline resolver (mirror of procurement)</t>
        </is>
      </c>
      <c r="E31" s="22" t="inlineStr">
        <is>
          <t>Calendar deliveries hardcodes pipeline TYPES ['distribution','sales_dispatch']. Add resolver like tenant_procurement_pipeline.</t>
        </is>
      </c>
      <c r="F31" s="22" t="inlineStr">
        <is>
          <t>services/workflows.py; calendar endpoint</t>
        </is>
      </c>
      <c r="G31" s="22" t="inlineStr">
        <is>
          <t>tests: bakery order_fulfilment shows in calendar deliveries</t>
        </is>
      </c>
      <c r="H31" s="37" t="inlineStr">
        <is>
          <t>Not Started</t>
        </is>
      </c>
      <c r="I31" s="42" t="inlineStr">
        <is>
          <t>P2</t>
        </is>
      </c>
      <c r="J31" s="103" t="inlineStr"/>
      <c r="K31" s="103" t="inlineStr"/>
      <c r="L31" s="103" t="inlineStr"/>
      <c r="M31" s="22" t="inlineStr">
        <is>
          <t>Extends FIX-001-A pattern to sales side.</t>
        </is>
      </c>
    </row>
    <row r="32" ht="105" customHeight="1">
      <c r="A32" s="103" t="inlineStr">
        <is>
          <t>FIX-FUP-10</t>
        </is>
      </c>
      <c r="B32" s="103" t="inlineStr">
        <is>
          <t>Follow-up (from FIX-002-A)</t>
        </is>
      </c>
      <c r="C32" s="103" t="inlineStr">
        <is>
          <t>(logged during 002-A)</t>
        </is>
      </c>
      <c r="D32" s="22" t="inlineStr">
        <is>
          <t>phone_norm on WhatsApp review UI + contact lookups</t>
        </is>
      </c>
      <c r="E32" s="22" t="inlineStr">
        <is>
          <t>server.py:4623 builds a phone_index for the WA review UI via Python-side normalization. Tenant-scoped (not a P0 like the global hot paths) but same pattern.</t>
        </is>
      </c>
      <c r="F32" s="22" t="inlineStr">
        <is>
          <t>server.py:4623 area</t>
        </is>
      </c>
      <c r="G32" s="22" t="inlineStr">
        <is>
          <t>test: query uses phone_norm</t>
        </is>
      </c>
      <c r="H32" s="37" t="inlineStr">
        <is>
          <t>Not Started</t>
        </is>
      </c>
      <c r="I32" s="42" t="inlineStr">
        <is>
          <t>P2</t>
        </is>
      </c>
      <c r="J32" s="103" t="inlineStr"/>
      <c r="K32" s="103" t="inlineStr"/>
      <c r="L32" s="103" t="inlineStr"/>
      <c r="M32" s="22" t="inlineStr">
        <is>
          <t>Consistency win, not a P0.</t>
        </is>
      </c>
    </row>
    <row r="33" ht="105" customHeight="1">
      <c r="A33" s="103" t="inlineStr">
        <is>
          <t>FIX-FUP-11</t>
        </is>
      </c>
      <c r="B33" s="103" t="inlineStr">
        <is>
          <t>Follow-up (from FIX-002-B)</t>
        </is>
      </c>
      <c r="C33" s="103" t="inlineStr">
        <is>
          <t>(logged during 002-B)</t>
        </is>
      </c>
      <c r="D33" s="22" t="inlineStr">
        <is>
          <t>Guard STT (Whisper/Sarvam) paths with llm_limits</t>
        </is>
      </c>
      <c r="E33" s="22" t="inlineStr">
        <is>
          <t>The FIX-002-B semaphore/timeout covers LlmChat paths. STT goes through OpenAISpeechToText and Sarvam wrappers separately - not yet guarded.</t>
        </is>
      </c>
      <c r="F33" s="22" t="inlineStr">
        <is>
          <t>server.py transcribe_audio_full and Sarvam wrapper</t>
        </is>
      </c>
      <c r="G33" s="22" t="inlineStr">
        <is>
          <t>test: mock STT, assert guarded_llm called</t>
        </is>
      </c>
      <c r="H33" s="37" t="inlineStr">
        <is>
          <t>Not Started</t>
        </is>
      </c>
      <c r="I33" s="42" t="inlineStr">
        <is>
          <t>P2</t>
        </is>
      </c>
      <c r="J33" s="103" t="inlineStr"/>
      <c r="K33" s="103" t="inlineStr"/>
      <c r="L33" s="103" t="inlineStr"/>
      <c r="M33" s="22" t="inlineStr">
        <is>
          <t>~1 hour when someone hits an STT rate limit.</t>
        </is>
      </c>
    </row>
    <row r="34" ht="105" customHeight="1">
      <c r="A34" s="103" t="inlineStr">
        <is>
          <t>FIX-FUP-12</t>
        </is>
      </c>
      <c r="B34" s="103" t="inlineStr">
        <is>
          <t>Follow-up (from FIX-002-B)</t>
        </is>
      </c>
      <c r="C34" s="103" t="inlineStr">
        <is>
          <t>(logged during 002-B)</t>
        </is>
      </c>
      <c r="D34" s="22" t="inlineStr">
        <is>
          <t>Cross-process LLM rate limiting (Redis-backed)</t>
        </is>
      </c>
      <c r="E34" s="22" t="inlineStr">
        <is>
          <t>Semaphore is per-process. With multiple uvicorn workers, total in-flight = workers x cap. Ties to Sprint 3 (per-tenant AI keys) so per-tenant caps become meaningful.</t>
        </is>
      </c>
      <c r="F34" s="22" t="inlineStr">
        <is>
          <t>new services/llm_limits.py extension + Redis</t>
        </is>
      </c>
      <c r="G34" s="22" t="inlineStr">
        <is>
          <t>test: distributed semaphore behavior</t>
        </is>
      </c>
      <c r="H34" s="37" t="inlineStr">
        <is>
          <t>Not Started</t>
        </is>
      </c>
      <c r="I34" s="38" t="inlineStr">
        <is>
          <t>P1</t>
        </is>
      </c>
      <c r="J34" s="103" t="inlineStr"/>
      <c r="K34" s="103" t="inlineStr"/>
      <c r="L34" s="103" t="inlineStr"/>
      <c r="M34" s="22" t="inlineStr">
        <is>
          <t>Sprint 3 territory.</t>
        </is>
      </c>
    </row>
    <row r="35">
      <c r="A35" t="inlineStr">
        <is>
          <t>FIX-FUP-13</t>
        </is>
      </c>
      <c r="B35" t="inlineStr">
        <is>
          <t>Follow-up (from FIX-002-F)</t>
        </is>
      </c>
      <c r="C35" t="inlineStr">
        <is>
          <t>(logged during 002-F local run)</t>
        </is>
      </c>
      <c r="D35" t="inlineStr">
        <is>
          <t>Frontend install hardening: legacy-peer-deps</t>
        </is>
      </c>
      <c r="E35" t="inlineStr">
        <is>
          <t>npm install silently exited 0 with 0 packages because react-day-picker@8 peer-requires date-fns@^2||^3 but this project uses date-fns@4. Added frontend/.npmrc with legacy-peer-deps=true so every dev + CI `npm install` runs without needing --legacy-peer-deps flag.</t>
        </is>
      </c>
      <c r="F35" t="inlineStr">
        <is>
          <t>frontend/.npmrc (new)</t>
        </is>
      </c>
      <c r="G35" t="inlineStr">
        <is>
          <t>manual: npm install now completes (was silent 0-package exit)</t>
        </is>
      </c>
      <c r="H35" s="106" t="inlineStr">
        <is>
          <t>Done</t>
        </is>
      </c>
      <c r="I35" t="inlineStr">
        <is>
          <t>P0</t>
        </is>
      </c>
      <c r="J35" t="inlineStr">
        <is>
          <t>2026-08-09</t>
        </is>
      </c>
      <c r="K35" t="inlineStr">
        <is>
          <t>2026-08-09</t>
        </is>
      </c>
      <c r="L35" t="inlineStr">
        <is>
          <t>5a4644e</t>
        </is>
      </c>
      <c r="M35" t="inlineStr">
        <is>
          <t>The trap that blocked our first local frontend boot. Locked in as .npmrc so it doesn't happen again.</t>
        </is>
      </c>
    </row>
    <row r="36">
      <c r="A36" t="inlineStr">
        <is>
          <t>FIX-FUP-14</t>
        </is>
      </c>
      <c r="B36" t="inlineStr">
        <is>
          <t>Follow-up (from FIX-002-F)</t>
        </is>
      </c>
      <c r="C36" t="inlineStr">
        <is>
          <t>(logged during 002-F local run)</t>
        </is>
      </c>
      <c r="D36" t="inlineStr">
        <is>
          <t>Pin ajv@^8.20.0 across the tree (webpack crash fix)</t>
        </is>
      </c>
      <c r="E36" t="inlineStr">
        <is>
          <t>ajv-keywords@5 needs `ajv/dist/compile/codegen` (ajv v8), but a nested dep resolved ajv@6, causing webpack to crash on start with `Cannot find module ajv/dist/compile/codegen`. Added overrides.ajv (npm) + resolutions.ajv (yarn) both set to ^8.20.0 to force v8 across the dep tree.</t>
        </is>
      </c>
      <c r="F36" t="inlineStr">
        <is>
          <t>frontend/package.json (overrides + resolutions blocks)</t>
        </is>
      </c>
      <c r="G36" t="inlineStr">
        <is>
          <t>manual: npm ls ajv shows ajv@8.20.0 at root + ajv-keywords@5.1.0 -&gt; ajv@8 deduped</t>
        </is>
      </c>
      <c r="H36" s="106" t="inlineStr">
        <is>
          <t>Done</t>
        </is>
      </c>
      <c r="I36" t="inlineStr">
        <is>
          <t>P0</t>
        </is>
      </c>
      <c r="J36" t="inlineStr">
        <is>
          <t>2026-08-09</t>
        </is>
      </c>
      <c r="K36" t="inlineStr">
        <is>
          <t>2026-08-09</t>
        </is>
      </c>
      <c r="L36" t="inlineStr">
        <is>
          <t>5a4644e</t>
        </is>
      </c>
      <c r="M36" t="inlineStr">
        <is>
          <t>Value must match the direct dep pinning exactly (^8.20.0) or npm throws EOVERRIDE. Learned that mid-fix.</t>
        </is>
      </c>
    </row>
    <row r="37">
      <c r="A37" s="57" t="inlineStr">
        <is>
          <t>Status legend:</t>
        </is>
      </c>
    </row>
    <row r="38">
      <c r="A38" s="37" t="inlineStr">
        <is>
          <t>Not Started</t>
        </is>
      </c>
      <c r="B38" s="97" t="inlineStr">
        <is>
          <t>In backlog, no work yet</t>
        </is>
      </c>
    </row>
    <row r="39">
      <c r="A39" s="98" t="inlineStr">
        <is>
          <t>Planning</t>
        </is>
      </c>
      <c r="B39" s="97" t="inlineStr">
        <is>
          <t>Reading code, scoping the fix, drafting approach</t>
        </is>
      </c>
    </row>
    <row r="40">
      <c r="A40" s="99" t="inlineStr">
        <is>
          <t>In Progress</t>
        </is>
      </c>
      <c r="B40" s="97" t="inlineStr">
        <is>
          <t>Writing the fix</t>
        </is>
      </c>
    </row>
    <row r="41">
      <c r="A41" s="38" t="inlineStr">
        <is>
          <t>Code Review</t>
        </is>
      </c>
      <c r="B41" s="97" t="inlineStr">
        <is>
          <t>Fix written, awaiting review / self-review</t>
        </is>
      </c>
    </row>
    <row r="42">
      <c r="A42" s="100" t="inlineStr">
        <is>
          <t>Testing</t>
        </is>
      </c>
      <c r="B42" s="97" t="inlineStr">
        <is>
          <t>Tests running</t>
        </is>
      </c>
    </row>
    <row r="43">
      <c r="A43" s="101" t="inlineStr">
        <is>
          <t>Done</t>
        </is>
      </c>
      <c r="B43" s="97" t="inlineStr">
        <is>
          <t>Merged + tests green + verified</t>
        </is>
      </c>
    </row>
    <row r="44">
      <c r="A44" s="36" t="inlineStr">
        <is>
          <t>Blocked</t>
        </is>
      </c>
      <c r="B44" s="97" t="inlineStr">
        <is>
          <t>Waiting on external dependency or decision</t>
        </is>
      </c>
    </row>
    <row r="45">
      <c r="A45" s="36" t="inlineStr">
        <is>
          <t>Rolled Back</t>
        </is>
      </c>
      <c r="B45" s="97" t="inlineStr">
        <is>
          <t>Shipped, broke something, reverted (record, don't hide)</t>
        </is>
      </c>
    </row>
    <row r="46">
      <c r="A46" s="107" t="inlineStr">
        <is>
          <t>FIX-FUP-15</t>
        </is>
      </c>
      <c r="B46" s="107" t="inlineStr">
        <is>
          <t>Follow-up (from FIX-002-F)</t>
        </is>
      </c>
      <c r="C46" s="107" t="inlineStr">
        <is>
          <t>(logged during 002-F QA)</t>
        </is>
      </c>
      <c r="D46" s="107" t="inlineStr">
        <is>
          <t>Wire `docker build` into CI (real container smoke test)</t>
        </is>
      </c>
      <c r="E46" s="107" t="inlineStr">
        <is>
          <t>FIX-002-F ships 25 static contract tests on the Dockerfile because Docker daemon isn't available in this test environment. That's fine as a first line of defense but doesn't catch runtime failures (missing apt package, wheel install failing, base-image tag drift). Once CI is stood up (S5-06), a job should build the image, run `docker run --rm ... /api/health`, and gate merges on it.</t>
        </is>
      </c>
      <c r="F46" s="107" t="inlineStr">
        <is>
          <t>(CI config; new; blocked on S5-06 CI/CD setup)</t>
        </is>
      </c>
      <c r="G46" s="107" t="inlineStr">
        <is>
          <t>smoke: docker build succeeds + healthcheck returns 200 in &lt;60s</t>
        </is>
      </c>
      <c r="H46" s="107" t="inlineStr">
        <is>
          <t>Not Started</t>
        </is>
      </c>
      <c r="I46" s="107" t="inlineStr">
        <is>
          <t>P1</t>
        </is>
      </c>
      <c r="J46" s="107" t="inlineStr"/>
      <c r="K46" s="107" t="inlineStr"/>
      <c r="L46" s="107" t="inlineStr"/>
      <c r="M46" s="107" t="inlineStr">
        <is>
          <t>Depends on S5-06 (Stand up CI/CD). Until then, the static tests are the guardrail.</t>
        </is>
      </c>
    </row>
    <row r="47">
      <c r="A47" s="107" t="inlineStr">
        <is>
          <t>FIX-003-A</t>
        </is>
      </c>
      <c r="B47" s="107" t="inlineStr">
        <is>
          <t>Sprint 2 / Tenancy &amp; Data</t>
        </is>
      </c>
      <c r="C47" s="107" t="inlineStr">
        <is>
          <t>S2-03 + S2-04</t>
        </is>
      </c>
      <c r="D47" s="107" t="inlineStr">
        <is>
          <t>Tenant-scope OTP + WhatsApp phone routing</t>
        </is>
      </c>
      <c r="E47" s="107" t="inlineStr">
        <is>
          <t>Phone was treated as a global identifier. Two users in different tenants sharing a phone collided: OTP overwrote each other's codes; verify returned first-match user across tenants; resolve_wa_tenant silently orphaned the losing tenant's user by marking them wa_phone_obsolete. Also folded S2-04: whatsapp_logs OR-included tenant_id=None events, leaking platform-wide unrouted traffic into every tenant's log view. Fix: phone is unique WITHIN a tenant. New services/phone.find_tenant_choices_for_phone as single choke-point. OTP models accept optional tenant_id; single-tenant fast path unchanged, multi-tenant returns ambiguity payload (200 for request, 409 for verify). otp_codes now keyed by (phone, tenant_id) with new compound unique index + migration otp_codes_tenant_scope_v1. resolve_wa_tenant cross-tenant collision: notifies BOTH tenant owners, falls back to WA_TENANT_ID, does NOT mark anyone obsolete. Within-tenant dedup still works with defense-in-depth tenant_id guard on update_many. whatsapp_logs strict tenant_id filter.</t>
        </is>
      </c>
      <c r="F47" s="107" t="inlineStr">
        <is>
          <t>services/phone.py (find_tenant_choices_for_phone); server.py: OtpRequestInput/OtpVerifyInput (tenant_id field), _issue_otp (compound key + required tenant_id), /auth/otp/request (ambiguity + tenant_id validation), /auth/otp/verify (compound key + 409 ambiguity), /auth/invite/{token}/start (uses invite's tenant), resolve_wa_tenant (cross-tenant safety + tenant-guarded update_many + invited_employees safety), whatsapp_logs (strict filter), _bootstrap (new migration + compound index)</t>
        </is>
      </c>
      <c r="G47" s="107" t="inlineStr">
        <is>
          <t>tests/test_tenant_phone_routing.py - 22 tests (helper contract, OTP model + handler source-level invariants, resolve_wa_tenant cross-tenant safety across 7 scenarios, whatsapp_logs regression guard, bootstrap wiring)</t>
        </is>
      </c>
      <c r="H47" s="106" t="inlineStr">
        <is>
          <t>Done</t>
        </is>
      </c>
      <c r="I47" s="107" t="inlineStr">
        <is>
          <t>P0</t>
        </is>
      </c>
      <c r="J47" s="107" t="inlineStr">
        <is>
          <t>2026-08-09</t>
        </is>
      </c>
      <c r="K47" s="107" t="inlineStr">
        <is>
          <t>2026-08-09</t>
        </is>
      </c>
      <c r="L47" s="107" t="inlineStr">
        <is>
          <t>6a1ecec</t>
        </is>
      </c>
      <c r="M47" s="107" t="inlineStr">
        <is>
          <t>Bundles S2-03 (P0) with S2-04 (P1) since they share the same code area. Handler source-level assertions are the primary lock-in; live-HTTP integration tests (test_iteration29/30) run only in the deployed env — logged as FIX-FUP-16. Per-tenant WABA is Sprint 3 (FIX-FUP-17).</t>
        </is>
      </c>
    </row>
    <row r="48">
      <c r="A48" t="inlineStr">
        <is>
          <t>FIX-FUP-16</t>
        </is>
      </c>
      <c r="B48" t="inlineStr">
        <is>
          <t>Follow-up (from FIX-003-A)</t>
        </is>
      </c>
      <c r="C48" t="inlineStr">
        <is>
          <t>(logged during 003-A)</t>
        </is>
      </c>
      <c r="D48" t="inlineStr">
        <is>
          <t>Update deployed integration tests to send tenant_id on OTP flows</t>
        </is>
      </c>
      <c r="E48" t="inlineStr">
        <is>
          <t>tests/test_iteration29.py + test_iteration30.py are live-HTTP tests against /app/backend/.env (Linux paths, deployed-only). They hit /auth/otp/request + /auth/otp/verify without tenant_id. In a single-tenant deployed env they still pass (fast path), but a multi-tenant fixture would need tenant_id threading. Update once a staging env with multiple tenants is available.</t>
        </is>
      </c>
      <c r="F48" t="inlineStr">
        <is>
          <t>tests/test_iteration29.py, tests/test_iteration30.py</t>
        </is>
      </c>
      <c r="G48" t="inlineStr">
        <is>
          <t>test: multi-tenant OTP flow with tenant_id param passes</t>
        </is>
      </c>
      <c r="H48" t="inlineStr">
        <is>
          <t>Not Started</t>
        </is>
      </c>
      <c r="I48" t="inlineStr">
        <is>
          <t>P2</t>
        </is>
      </c>
      <c r="M48" t="inlineStr">
        <is>
          <t>Blocked on S5-01 (Stand up staging env). Single-tenant deployments unaffected.</t>
        </is>
      </c>
    </row>
    <row r="49">
      <c r="A49" t="inlineStr">
        <is>
          <t>FIX-FUP-17</t>
        </is>
      </c>
      <c r="B49" t="inlineStr">
        <is>
          <t>Follow-up (from FIX-003-A)</t>
        </is>
      </c>
      <c r="C49" t="inlineStr">
        <is>
          <t>(logged during 003-A)</t>
        </is>
      </c>
      <c r="D49" t="inlineStr">
        <is>
          <t>Per-tenant WhatsApp Business Account (WABA) provisioning</t>
        </is>
      </c>
      <c r="E49" t="inlineStr">
        <is>
          <t>Today WA_PHONE_NUMBER_ID is a platform-level env var. That means the whole platform runs against ONE Meta WABA and sender-phone is the only signal we have for tenant routing. If each tenant provisions their OWN WABA + business number, we can route by the RECEIVING business number (which Meta sends in webhook value.metadata.phone_number_id) instead of the sender's phone. Eliminates cross-tenant collisions entirely — a phone can be an employee in workspace A and a supplier in workspace B without ambiguity because Meta tells us which of OUR numbers the message hit. Requires: schema change (tenants.wa_phone_number_id), settings UI, onboarding flow to link a Meta WABA, and updating resolve_wa_tenant to prefer receiving-number lookup.</t>
        </is>
      </c>
      <c r="F49" t="inlineStr">
        <is>
          <t>server.py resolve_wa_tenant (add receiving_pnid arg); routers/tenant (settings UI to save wa_phone_number_id); webhook to extract value.metadata.phone_number_id and pass through</t>
        </is>
      </c>
      <c r="G49" t="inlineStr">
        <is>
          <t>test: two tenants with distinct wa_phone_number_id -&gt; messages route correctly; same sender phone across both -&gt; each tenant gets their own message</t>
        </is>
      </c>
      <c r="H49" t="inlineStr">
        <is>
          <t>Not Started</t>
        </is>
      </c>
      <c r="I49" t="inlineStr">
        <is>
          <t>P1</t>
        </is>
      </c>
      <c r="M49" t="inlineStr">
        <is>
          <t>Sprint 3 territory (S3-03 or new S3-05). Removes the whole class of cross-tenant WhatsApp collision.</t>
        </is>
      </c>
    </row>
    <row r="50">
      <c r="A50" t="inlineStr">
        <is>
          <t>FIX-003-B</t>
        </is>
      </c>
      <c r="B50" t="inlineStr">
        <is>
          <t>Sprint 2 / Tenancy Hygiene</t>
        </is>
      </c>
      <c r="C50" t="inlineStr">
        <is>
          <t>S2-05 + S2-08 + S2-10 + S2-12</t>
        </is>
      </c>
      <c r="D50" t="inlineStr">
        <is>
          <t>Sprint 2 hygiene batch: enrich_decisions tenant guard, contacts.type index, register race, active-workflow lock-in</t>
        </is>
      </c>
      <c r="E50" t="inlineStr">
        <is>
          <t>S2-05 defense-in-depth: enrich_decision(s) now filter task_ids/created_by lookups by tenant_id; batch inference for single-tenant callers who forget; explicit at all 6 caller sites. S2-08: contacts index was on dead field `kind` (the collection uses `type`); replaced + drops legacy. S2-10: register handler was find_one-then-insert_one with orphan-tenant risk on concurrent race; now catches DuplicateKeyError, rolls back the orphan tenant, returns friendly 400. S2-12: verified S2-12 was fully closed by FIX-001-F and locked it in with a regression test guarding against ['delivered','paid'] reappearing anywhere in server.py.</t>
        </is>
      </c>
      <c r="F50" t="inlineStr">
        <is>
          <t>server.py (enrich_decision(s) + know360 caller + owner_brief caller + contacts index in bootstrap); routers/decisions.py (6 enrich_decision callers); routers/brief.py (awaiting_approval); routers/auth.py (register DuplicateKeyError handling + orphan tenant rollback)</t>
        </is>
      </c>
      <c r="G50" t="inlineStr">
        <is>
          <t>tests/test_tenancy_hygiene_batch.py - 10 tests (4x enrich_decision tenant guard incl. batch inference + mixed-batch + creator lookup, 2x contacts.type index bootstrap, 2x register DuplicateKeyError + rollback + email unique index invariant, 2x active-workflow lock-in)</t>
        </is>
      </c>
      <c r="H50" s="106" t="inlineStr">
        <is>
          <t>Done</t>
        </is>
      </c>
      <c r="I50" t="inlineStr">
        <is>
          <t>P1</t>
        </is>
      </c>
      <c r="J50" t="inlineStr">
        <is>
          <t>2026-08-10</t>
        </is>
      </c>
      <c r="K50" t="inlineStr">
        <is>
          <t>2026-08-10</t>
        </is>
      </c>
      <c r="L50" t="inlineStr">
        <is>
          <t>f18bbc3</t>
        </is>
      </c>
      <c r="M50" t="inlineStr">
        <is>
          <t>Bundled 4 small Sprint 2 items. All P1/P2, no go-live blocker individually; bundled for efficiency. S2-12 was already implemented by FIX-001-F; this ship formalized the regression guard.</t>
        </is>
      </c>
    </row>
    <row r="51">
      <c r="A51" t="inlineStr">
        <is>
          <t>FIX-003-C</t>
        </is>
      </c>
      <c r="B51" t="inlineStr">
        <is>
          <t>Sprint 2 / Auth &amp; Hygiene</t>
        </is>
      </c>
      <c r="C51" t="inlineStr">
        <is>
          <t>S2-06 + S2-09 + S2-11</t>
        </is>
      </c>
      <c r="D51" t="inlineStr">
        <is>
          <t>JWT revocation on logout + contact rename cascade + AI regen failure flag</t>
        </is>
      </c>
      <c r="E51" t="inlineStr">
        <is>
          <t>S2-06 (security): /logout only cleared browser cookie; JWT stayed valid until exp (7 days). Now: every access token gains a random jti; /logout records (jti, exp) in db.revoked_tokens; get_current_user checks is_revoked on every authenticated request. TTL index on revoked_tokens.exp keeps the table bounded. Fail-open on Mongo blip so a transient DB error doesn't lock everyone out. /logout has no auth dependency so a corrupted/already-revoked token can still clear the cookie. S2-09: contact_name is denormalized into invoices/payments/workflows.counterparty; renaming a contact left every existing row with stale display + search columns. update_contact now cascades: match by contact_id (recent rows) + fall back to exact old_name where contact_id is null (legacy rows). Every cascade update is tenant-scoped. S2-11: regenerate_operating_model + regenerate_finance_categories called AI generators directly, so silent AI degradation (timeout, malformed JSON, empty pipelines) left tenants with default configs and no signal. Now uses ai_setup._with_status wrappers, persists ai_setup_status on tenant, returns ai_setup_status_summary in response. On defaulted/failed run, preserves existing config instead of clobbering.</t>
        </is>
      </c>
      <c r="F51" t="inlineStr">
        <is>
          <t>services/session_revocation.py (new: revoke/is_revoked with fail-open); core.py (create_token adds jti, get_current_user checks is_revoked); routers/auth.py (/logout revokes current jti + Request import); server.py (bootstrap: revoked_tokens jti unique + exp TTL indexes; regenerate_operating_model + regenerate_finance_categories status-tracking; update_contact rename cascade)</t>
        </is>
      </c>
      <c r="G51" t="inlineStr">
        <is>
          <t>tests/test_session_revocation.py - 17 tests (6 revoke/is_revoked contract, 2 jti in create_token, 2 /logout revocation + no auth dep, 1 get_current_user revocation check, 1 bootstrap indexes, 2 contact rename cascade guards, 3 AI regen status tracking)</t>
        </is>
      </c>
      <c r="H51" s="106" t="inlineStr">
        <is>
          <t>Done</t>
        </is>
      </c>
      <c r="I51" t="inlineStr">
        <is>
          <t>P1</t>
        </is>
      </c>
      <c r="J51" t="inlineStr">
        <is>
          <t>2026-08-10</t>
        </is>
      </c>
      <c r="K51" t="inlineStr">
        <is>
          <t>2026-08-10</t>
        </is>
      </c>
      <c r="L51" t="inlineStr">
        <is>
          <t>f48bd24</t>
        </is>
      </c>
      <c r="M51" t="inlineStr">
        <is>
          <t>S2-06 is the real security fix in this batch. Sprint 2 now 11/12 shipped; only S2-07 (email verification + password reset, green-field email service) remains.</t>
        </is>
      </c>
    </row>
    <row r="52">
      <c r="A52" t="inlineStr">
        <is>
          <t>FIX-003-D</t>
        </is>
      </c>
      <c r="B52" t="inlineStr">
        <is>
          <t>Sprint 2 / Email + Auth</t>
        </is>
      </c>
      <c r="C52" t="inlineStr">
        <is>
          <t>S2-07</t>
        </is>
      </c>
      <c r="D52" t="inlineStr">
        <is>
          <t>Email verification + password reset (green-field)</t>
        </is>
      </c>
      <c r="E52" t="inlineStr">
        <is>
          <t>New auth flows built from scratch. services/auth_emails.py provides a single token model for both flows: auth_email_tokens keyed by URL-safe 32-char token (secrets.token_urlsafe(24) = ~192 bits entropy), single-use consume() with atomic filter on used_at:None, issue() idempotent within cooldown to prevent inbox flood. TTLs differ by kind: email_verify=3 days, password_reset=1 hour. 4 endpoints on routers/auth.py: POST /auth/email/send-verification (authenticated), GET /auth/email/verify/{token} (public), POST /auth/password/forgot (public, canonical response = no email enumeration), POST /auth/password/reset (public, single-use + invalidates sibling reset tokens). Register hook: verification email sent best-effort on /auth/register (SMTP down never fails registration). 3 bootstrap indexes: token unique, expires_at TTL, kind+email+used_at compound for issue reuse lookup. Passwordless (OTP-only) accounts get canonical /forgot response but no email + explicit refusal on /reset.</t>
        </is>
      </c>
      <c r="F52" t="inlineStr">
        <is>
          <t>services/auth_emails.py (new: token model + email templates); routers/auth.py (PasswordForgotInput/PasswordResetInput models, 4 new endpoints, register hook, _app_base_url helper); server.py (3 auth_email_tokens indexes in bootstrap)</t>
        </is>
      </c>
      <c r="G52" t="inlineStr">
        <is>
          <t>tests/test_email_verification_and_reset.py - 23 tests (8 issue contract, 5 consume single-use + failure modes, 1 invalidate isolation, 5 endpoint shape guards, 1 register best-effort, 1 bootstrap indexes, 2 email templates)</t>
        </is>
      </c>
      <c r="H52" s="106" t="inlineStr">
        <is>
          <t>Done</t>
        </is>
      </c>
      <c r="I52" t="inlineStr">
        <is>
          <t>P1</t>
        </is>
      </c>
      <c r="J52" t="inlineStr">
        <is>
          <t>2026-08-10</t>
        </is>
      </c>
      <c r="K52" t="inlineStr">
        <is>
          <t>2026-08-10</t>
        </is>
      </c>
      <c r="L52" t="inlineStr">
        <is>
          <t>4ef865e</t>
        </is>
      </c>
      <c r="M52" t="inlineStr">
        <is>
          <t>SPRINT 2 COMPLETE (12/12). Green-field build. Follow-ups: FIX-FUP-18 per-IP rate limit on /forgot; FIX-FUP-19 frontend /verify-email + /reset-password pages.</t>
        </is>
      </c>
    </row>
    <row r="53">
      <c r="A53" t="inlineStr">
        <is>
          <t>FIX-FUP-18</t>
        </is>
      </c>
      <c r="B53" t="inlineStr">
        <is>
          <t>Follow-up (from FIX-003-D)</t>
        </is>
      </c>
      <c r="C53" t="inlineStr">
        <is>
          <t>(logged during 003-D)</t>
        </is>
      </c>
      <c r="D53" t="inlineStr">
        <is>
          <t>Per-IP rate limit on /auth/password/forgot</t>
        </is>
      </c>
      <c r="E53" t="inlineStr">
        <is>
          <t>Today the throttle is per-account via services.auth_emails.issue() cooldown (60s). That prevents inbox spam for one target, but an attacker cycling emails can still overwhelm SMTP quota. Add IP-based rate limit (e.g. 10 requests/hour) via a middleware or a small in-process counter.</t>
        </is>
      </c>
      <c r="F53" t="inlineStr">
        <is>
          <t>middleware or routers/auth.py</t>
        </is>
      </c>
      <c r="G53" t="inlineStr">
        <is>
          <t>test: 11 rapid requests from same IP -&gt; 11th returns 429</t>
        </is>
      </c>
      <c r="H53" t="inlineStr">
        <is>
          <t>Not Started</t>
        </is>
      </c>
      <c r="I53" t="inlineStr">
        <is>
          <t>P2</t>
        </is>
      </c>
      <c r="M53" t="inlineStr">
        <is>
          <t>Sprint 0/security territory; not a go-live blocker for controlled beta.</t>
        </is>
      </c>
    </row>
    <row r="54">
      <c r="A54" t="inlineStr">
        <is>
          <t>FIX-FUP-19</t>
        </is>
      </c>
      <c r="B54" t="inlineStr">
        <is>
          <t>Follow-up (from FIX-003-D)</t>
        </is>
      </c>
      <c r="C54" t="inlineStr">
        <is>
          <t>(logged during 003-D)</t>
        </is>
      </c>
      <c r="D54" t="inlineStr">
        <is>
          <t>Frontend pages: /verify-email + /reset-password</t>
        </is>
      </c>
      <c r="E54" t="inlineStr">
        <is>
          <t>Backend links point at APP_BASE_URL/verify-email?token=... and APP_BASE_URL/reset-password?token=... but no frontend routes exist yet. Add: two lightweight pages that read the token from the query string, call GET /api/auth/email/verify/{token} or POST /api/auth/password/reset respectively, and show success/error UI.</t>
        </is>
      </c>
      <c r="F54" t="inlineStr">
        <is>
          <t>frontend/src/App.js routes; new components</t>
        </is>
      </c>
      <c r="G54" t="inlineStr">
        <is>
          <t>manual: click a verification email link -&gt; success page renders</t>
        </is>
      </c>
      <c r="H54" t="inlineStr">
        <is>
          <t>Not Started</t>
        </is>
      </c>
      <c r="I54" t="inlineStr">
        <is>
          <t>P1</t>
        </is>
      </c>
      <c r="M54" t="inlineStr">
        <is>
          <t>Backend is complete and callable via curl; frontend pages are the last mile for users.</t>
        </is>
      </c>
    </row>
    <row r="55">
      <c r="A55" t="inlineStr">
        <is>
          <t>FIX-004-A</t>
        </is>
      </c>
      <c r="B55" t="inlineStr">
        <is>
          <t>Sprint 2.5 / RBAC Wave 1</t>
        </is>
      </c>
      <c r="C55" t="inlineStr">
        <is>
          <t>RBAC-01 + RBAC-02 + RBAC-03</t>
        </is>
      </c>
      <c r="D55" t="inlineStr">
        <is>
          <t>RBAC Wave 1: HMAC-signed drafts + CAPTCHA/rate-limit register + SSRF-guarded signup AI</t>
        </is>
      </c>
      <c r="E55" t="inlineStr">
        <is>
          <t>3 P0 public-endpoint gaps closed. RBAC-01: onboarding drafts were world-accessible by ID; now HMAC-signed X-Draft-Token required on GET/PATCH + per-IP rate limit on create. RBAC-02: /register was unauth + unlimited; now Turnstile/hCaptcha token verification + 3/hour/IP rate limit. RBAC-03: signup AI endpoints (website-intel, tts, stt, interview/*) were unauth credit-burners; now shared _guard_signup_endpoint dep runs hourly (30/IP) + burst (5/10s) rate-limit + CAPTCHA. website-intel gains SSRF guard blocking private v4/v6 ranges, loopback, link-local, cloud-metadata IPs (169.254.169.254), and non-http(s) schemes. Also introduces reusable infra: services/rate_limit.py (sliding-window, fail-open), services/captcha.py (Turnstile/hCaptcha with 3 env states), services/ssrf_guard.py (single choke-point URL validator), services/auth/draft_tokens.py (HMAC sign/verify). All will be reused by RBAC Waves 2-5.</t>
        </is>
      </c>
      <c r="F55" t="inlineStr">
        <is>
          <t>services/rate_limit.py (new); services/captcha.py (new); services/ssrf_guard.py (new); services/auth/draft_tokens.py (new); services/auth/__init__.py (exports); routers/onboarding.py (draft token + rate limit); routers/auth.py (register captcha + rate limit); routers/signup.py (guard + SSRF on 9 endpoints)</t>
        </is>
      </c>
      <c r="G55" t="inlineStr">
        <is>
          <t>tests/test_rbac_wave1.py - 41 tests (9 rate_limit contract + client_ip variants, 5 captcha env-state combos, 10 SSRF guard incl. v6 loopback + link-local, 7 draft tokens, 5 onboarding gate, 2 register gate, 3 signup AI gate)</t>
        </is>
      </c>
      <c r="H55" s="106" t="inlineStr">
        <is>
          <t>Done</t>
        </is>
      </c>
      <c r="I55" t="inlineStr">
        <is>
          <t>P0</t>
        </is>
      </c>
      <c r="J55" t="inlineStr">
        <is>
          <t>2026-08-10</t>
        </is>
      </c>
      <c r="K55" t="inlineStr">
        <is>
          <t>2026-08-10</t>
        </is>
      </c>
      <c r="L55" t="inlineStr">
        <is>
          <t>a44135f</t>
        </is>
      </c>
      <c r="M55" t="inlineStr">
        <is>
          <t>Backend-complete. FIX-FUP-20 tracks the frontend integration (Turnstile widget, X-Draft-Token header, X-Captcha-Token header). Rate limiter is per-worker; Redis backend logged as FIX-FUP-21 for multi-worker deploys.</t>
        </is>
      </c>
    </row>
    <row r="56">
      <c r="A56" t="inlineStr">
        <is>
          <t>FIX-FUP-20</t>
        </is>
      </c>
      <c r="B56" t="inlineStr">
        <is>
          <t>Follow-up (from FIX-004-A)</t>
        </is>
      </c>
      <c r="C56" t="inlineStr">
        <is>
          <t>(logged during Wave 1)</t>
        </is>
      </c>
      <c r="D56" t="inlineStr">
        <is>
          <t>Frontend integration for RBAC Wave 1 (CAPTCHA widget + auth headers)</t>
        </is>
      </c>
      <c r="E56" t="inlineStr">
        <is>
          <t>Backend is complete but the frontend needs 3 updates: (a) onboarding wizard stores the draft_token returned from POST /onboarding/draft, sends X-Draft-Token on every subsequent GET/PATCH; (b) /register page renders a Cloudflare Turnstile widget (free, invisible for most users), passes the resulting captcha_token in the request body; (c) /signup wizard renders same widget on first AI call per session, passes the resulting token via X-Captcha-Token header. Without these, the frontend will fail against a prod backend that has CAPTCHA_REQUIRED=1.</t>
        </is>
      </c>
      <c r="F56" t="inlineStr">
        <is>
          <t>frontend/src pages: OnboardingWizard, Register, Signup</t>
        </is>
      </c>
      <c r="G56" t="inlineStr">
        <is>
          <t>manual: form submits succeed; loading Turnstile in dev works</t>
        </is>
      </c>
      <c r="H56" t="inlineStr">
        <is>
          <t>Not Started</t>
        </is>
      </c>
      <c r="I56" t="inlineStr">
        <is>
          <t>P1</t>
        </is>
      </c>
      <c r="M56" t="inlineStr">
        <is>
          <t>Backend is deployed-ready in permissive mode today; frontend fix required before flipping CAPTCHA_REQUIRED=1 in prod.</t>
        </is>
      </c>
    </row>
    <row r="57">
      <c r="A57" t="inlineStr">
        <is>
          <t>FIX-FUP-21</t>
        </is>
      </c>
      <c r="B57" t="inlineStr">
        <is>
          <t>Follow-up (from FIX-004-A)</t>
        </is>
      </c>
      <c r="C57" t="inlineStr">
        <is>
          <t>(logged during Wave 1)</t>
        </is>
      </c>
      <c r="D57" t="inlineStr">
        <is>
          <t>Cross-process rate limiter (Redis backend)</t>
        </is>
      </c>
      <c r="E57" t="inlineStr">
        <is>
          <t>Current services/rate_limit.py is in-process. With N uvicorn workers the effective per-IP ceiling is N*cap. Fine for the current unauth surface (a bot burst is spread across workers roughly evenly), but not correct. Replace with a Redis-backed sliding window using INCR + EXPIRE or a Lua script. Same public API so no caller changes.</t>
        </is>
      </c>
      <c r="F57" t="inlineStr">
        <is>
          <t>services/rate_limit.py</t>
        </is>
      </c>
      <c r="G57" t="inlineStr">
        <is>
          <t>test: 3-worker simulation, verify shared counter</t>
        </is>
      </c>
      <c r="H57" t="inlineStr">
        <is>
          <t>Not Started</t>
        </is>
      </c>
      <c r="I57" t="inlineStr">
        <is>
          <t>P2</t>
        </is>
      </c>
      <c r="M57" t="inlineStr">
        <is>
          <t>Sprint 3+ territory when we scale beyond 1 worker per instance.</t>
        </is>
      </c>
    </row>
    <row r="58">
      <c r="A58" t="inlineStr">
        <is>
          <t>FIX-FUP-22</t>
        </is>
      </c>
      <c r="B58" t="inlineStr">
        <is>
          <t>Follow-up (from FIX-004-A)</t>
        </is>
      </c>
      <c r="C58" t="inlineStr">
        <is>
          <t>(logged during Wave 1)</t>
        </is>
      </c>
      <c r="D58" t="inlineStr">
        <is>
          <t>SSRF guard v2: pin resolved IP through httpx transport</t>
        </is>
      </c>
      <c r="E58" t="inlineStr">
        <is>
          <t>Current is_url_safe_for_fetch resolves hostname + checks IPs, then httpx.get re-resolves independently. In the ~100ms gap between check + fetch, a hostile DNS server could re-flip the record from public to private. Fix: use httpx transport with a custom Resolver that reuses the resolved IPs from is_url_safe_for_fetch (or pass resolved IP + Host header separately). Adds SNI + Host complexity.</t>
        </is>
      </c>
      <c r="F58" t="inlineStr">
        <is>
          <t>services/ssrf_guard.py, routers/signup.py</t>
        </is>
      </c>
      <c r="G58" t="inlineStr">
        <is>
          <t>test: TOCTOU race simulator with a mock resolver flipping IPs mid-call</t>
        </is>
      </c>
      <c r="H58" t="inlineStr">
        <is>
          <t>Not Started</t>
        </is>
      </c>
      <c r="I58" t="inlineStr">
        <is>
          <t>P2</t>
        </is>
      </c>
      <c r="M58" t="inlineStr">
        <is>
          <t>Current guard is fine for the SME-scale threat model; hardening is nice-to-have.</t>
        </is>
      </c>
    </row>
    <row r="59">
      <c r="A59" t="inlineStr">
        <is>
          <t>FIX-004-B</t>
        </is>
      </c>
      <c r="B59" t="inlineStr">
        <is>
          <t>Sprint 2.5 / RBAC Wave 2</t>
        </is>
      </c>
      <c r="C59" t="inlineStr">
        <is>
          <t>RBAC-12 + RBAC-13</t>
        </is>
      </c>
      <c r="D59" t="inlineStr">
        <is>
          <t>Memberships collection + email-per-person (many-to-many user↔tenant)</t>
        </is>
      </c>
      <c r="E59" t="inlineStr">
        <is>
          <t>Big data-model refactor that unblocks every remaining multi-workspace fix. Before: user.tenant_id single FK + users.email globally unique = one email = one person = one workspace forever. After: new memberships collection (user_id, tenant_id, role, permissions, status, invite metadata) with compound unique. users.email still globally unique (one PERSON per email) but that person can belong to N workspaces via N membership rows. Unlocks accountants serving multiple SMEs, founders with 2 businesses, employee invited to 2nd workspace. get_current_user projects role/permissions from CURRENT membership onto user dict — ~430 downstream call sites keep working unchanged (compat layer). Only login + register + user CRUD + invite flow have real logic changes. Bootstrap: 3 new indexes + backfill_memberships_v1 migration (via FIX-002-C ledger). New endpoints: GET /me/workspaces + POST /me/switch-workspace. Login gains optional tenant_id in body; multi-membership + no hint returns ambiguity payload for the frontend picker.</t>
        </is>
      </c>
      <c r="F59" t="inlineStr">
        <is>
          <t>services/auth/membership.py (new: full service + compat helper); services/auth/__init__.py (exports); core.py (get_current_user resolves membership + projects onto user + legacy fallback); server.py (bootstrap: 3 indexes + backfill migration); routers/auth.py (register creates owner membership + rollback; login ambiguity; /me/workspaces; /me/switch-workspace); routers/team.py (create_user creates membership; update_user mirrors role/perm changes)</t>
        </is>
      </c>
      <c r="G59" t="inlineStr">
        <is>
          <t>tests/test_memberships_wave2.py — 29 tests (5 create incl. idempotent + reactivate, 2 find + status filter, 2 list-for-user, 3 resolve_login_choices, 2 update, 2 remove soft-delete, 2 project, 1 bootstrap, 1 register+rollback, 2 login flow, 3 workspace endpoints, 2 get_current_user, 2 team mirroring)</t>
        </is>
      </c>
      <c r="H59" s="106" t="inlineStr">
        <is>
          <t>Done</t>
        </is>
      </c>
      <c r="I59" t="inlineStr">
        <is>
          <t>P0</t>
        </is>
      </c>
      <c r="J59" t="inlineStr">
        <is>
          <t>2026-08-10</t>
        </is>
      </c>
      <c r="K59" t="inlineStr">
        <is>
          <t>2026-08-10</t>
        </is>
      </c>
      <c r="L59" t="inlineStr">
        <is>
          <t>56399d6</t>
        </is>
      </c>
      <c r="M59" t="inlineStr">
        <is>
          <t>Blocks-go-live P0. Sprint 2.5 now 5/20 shipped (Waves 1 + 2). Compat layer keeps 349/349 offline regression green — downstream refactor is optional and can happen incrementally. Frontend integration (workspace switcher UI, ambiguity picker on login) is FIX-FUP-25.</t>
        </is>
      </c>
    </row>
    <row r="60">
      <c r="A60" t="inlineStr">
        <is>
          <t>FIX-FUP-23</t>
        </is>
      </c>
      <c r="B60" t="inlineStr">
        <is>
          <t>Follow-up (from FIX-004-B)</t>
        </is>
      </c>
      <c r="C60" t="inlineStr">
        <is>
          <t>(logged during Wave 2)</t>
        </is>
      </c>
      <c r="D60" t="inlineStr">
        <is>
          <t>OTP verify: read role from membership directly (not via compat)</t>
        </is>
      </c>
      <c r="E60" t="inlineStr">
        <is>
          <t>Today OTP verify still reads user.role via the get_current_user compat layer projection. Correct behavior, but the code reads clearer if we look up the membership explicitly for role. Small cleanup — trivial once every downstream reader is migrated off user.tenant_id/role.</t>
        </is>
      </c>
      <c r="F60" t="inlineStr">
        <is>
          <t>server.py verify_otp handler</t>
        </is>
      </c>
      <c r="G60" t="inlineStr">
        <is>
          <t>test: OTP verify returns correct role when user has multi-tenant</t>
        </is>
      </c>
      <c r="H60" t="inlineStr">
        <is>
          <t>Not Started</t>
        </is>
      </c>
      <c r="I60" t="inlineStr">
        <is>
          <t>P2</t>
        </is>
      </c>
      <c r="M60" t="inlineStr">
        <is>
          <t>Cosmetic; correct behavior today.</t>
        </is>
      </c>
    </row>
    <row r="61">
      <c r="A61" t="inlineStr">
        <is>
          <t>FIX-FUP-24</t>
        </is>
      </c>
      <c r="B61" t="inlineStr">
        <is>
          <t>Follow-up (from FIX-004-B)</t>
        </is>
      </c>
      <c r="C61" t="inlineStr">
        <is>
          <t>(logged during Wave 2)</t>
        </is>
      </c>
      <c r="D61" t="inlineStr">
        <is>
          <t>Cascade: delete memberships on user delete</t>
        </is>
      </c>
      <c r="E61" t="inlineStr">
        <is>
          <t>Currently memberships are soft-deleted (status=removed) when a tenant admin removes an employee. There's no path yet to delete the USER (person) — that comes with RBAC-22 (off-boarding wizard) in Wave 4. When we get there, need to decide: delete all their memberships? preserve for audit? Also cascade rules if a TENANT is deleted (currently TENANT_COLLECTIONS wipe should include memberships).</t>
        </is>
      </c>
      <c r="F61" t="inlineStr">
        <is>
          <t>routers/admin.py TENANT_COLLECTIONS, routers/team.py user delete path</t>
        </is>
      </c>
      <c r="G61" t="inlineStr">
        <is>
          <t>test: tenant delete wipes all memberships for that tenant</t>
        </is>
      </c>
      <c r="H61" t="inlineStr">
        <is>
          <t>Not Started</t>
        </is>
      </c>
      <c r="I61" t="inlineStr">
        <is>
          <t>P1</t>
        </is>
      </c>
      <c r="M61" t="inlineStr">
        <is>
          <t>Blocks RBAC-22 off-boarding (Wave 4).</t>
        </is>
      </c>
    </row>
    <row r="62">
      <c r="A62" t="inlineStr">
        <is>
          <t>FIX-FUP-25</t>
        </is>
      </c>
      <c r="B62" t="inlineStr">
        <is>
          <t>Follow-up (from FIX-004-B)</t>
        </is>
      </c>
      <c r="C62" t="inlineStr">
        <is>
          <t>(logged during Wave 2)</t>
        </is>
      </c>
      <c r="D62" t="inlineStr">
        <is>
          <t>Frontend: workspace switcher UI + login ambiguity picker</t>
        </is>
      </c>
      <c r="E62" t="inlineStr">
        <is>
          <t>Backend is ready. Frontend needs: (a) login page handles the {ambiguous: true, choices: [...]} response and renders a workspace-picker; (b) top-bar workspace switcher calls GET /me/workspaces and POST /me/switch-workspace; (c) invited-user landing UI (post-OTP) if a person now holds multiple memberships. Also update the frontend register form: when a user with an existing email hits /register, show the friendly 'log in first + then Settings &gt; Create Workspace' message.</t>
        </is>
      </c>
      <c r="F62" t="inlineStr">
        <is>
          <t>frontend/src pages: Login, TopBar, Settings, Register</t>
        </is>
      </c>
      <c r="G62" t="inlineStr">
        <is>
          <t>manual: log in as user with 2 memberships, verify picker + switch</t>
        </is>
      </c>
      <c r="H62" t="inlineStr">
        <is>
          <t>Not Started</t>
        </is>
      </c>
      <c r="I62" t="inlineStr">
        <is>
          <t>P1</t>
        </is>
      </c>
      <c r="M62" t="inlineStr">
        <is>
          <t>Backend accepts current single-membership frontend unchanged; frontend can ship this incrementally.</t>
        </is>
      </c>
    </row>
    <row r="63">
      <c r="A63" t="inlineStr">
        <is>
          <t>FIX-004-C</t>
        </is>
      </c>
      <c r="B63" t="inlineStr">
        <is>
          <t>Sprint 2.5 / RBAC Wave 3 sub-batch A</t>
        </is>
      </c>
      <c r="C63" t="inlineStr">
        <is>
          <t>RBAC-04..11 (8 items)</t>
        </is>
      </c>
      <c r="D63" t="inlineStr">
        <is>
          <t>Wave 3 endpoint gates: 8 auth-only endpoints upgraded to role/perm gated</t>
        </is>
      </c>
      <c r="E63" t="inlineStr">
        <is>
          <t>Closes every 'auth-only endpoint that should be role/perm-gated' finding from the RBAC audit sweep. 8 items in one commit because they share the same testing infrastructure (cross-role permission matrix). RBAC-04 /workflows POST -&gt; require_perm(workflows) [symmetric with DELETE which was already owner]. RBAC-05 /captures/{id}/approve|reject|reassign|clarify -&gt; require_perm(approvals). RBAC-06 /follow-up/run -&gt; require_perm(team_manage). RBAC-07 4 of 17 tasks endpoints upgraded (delete_task role(owner), reassign/delete-plan/prioritize require_perm(team_manage)); other 13 remain auth-only with inline scope checks because widening would break normal workflow. RBAC-08 /meetings + /meetings/text -&gt; require_perm(voice_capture) [matches /voice-notes]. RBAC-09 /leaves approve/reject/request-info -&gt; require_perm(leave_approve) [decorator gate; inline _can_approve_leave stays as defense-in-depth]. RBAC-10 /brain/export -&gt; require_perm(brain_export) [NEW permission key added to config; NOT in _BASE_PERMS so owner-only or explicit grant]. RBAC-11 /memory POST -&gt; require_perm(brain) [read stays open].</t>
        </is>
      </c>
      <c r="F63" t="inlineStr">
        <is>
          <t>config.py (brain_export in PERMISSION_KEYS); server.py (create_workflow, 4 captures, followup_run, 2 meetings, add_memory); routers/tasks.py (delete_task, reassign_task, delete_execution_plan, prioritize_tasks + require_role/require_perm imports); routers/team.py (3 leaves endpoints); routers/brain.py (/brain/export)</t>
        </is>
      </c>
      <c r="G63" t="inlineStr">
        <is>
          <t>tests/test_rbac_wave3_gates.py — 22 tests (3 config lock-in incl. brain_export not-in-base, 11 per-endpoint dep verification for all 8 RBAC-IDs, 6 cross-role permission matrix incl. owner all-perms + sales/finance defaults + custom role fallback + explicit grant override + brain_export explicit-grant-only, 2 regression on existing gates)</t>
        </is>
      </c>
      <c r="H63" s="106" t="inlineStr">
        <is>
          <t>Done</t>
        </is>
      </c>
      <c r="I63" t="inlineStr">
        <is>
          <t>P1</t>
        </is>
      </c>
      <c r="J63" t="inlineStr">
        <is>
          <t>2026-08-10</t>
        </is>
      </c>
      <c r="K63" t="inlineStr">
        <is>
          <t>2026-08-10</t>
        </is>
      </c>
      <c r="L63" t="inlineStr">
        <is>
          <t>9b3a1c3</t>
        </is>
      </c>
      <c r="M63" t="inlineStr">
        <is>
          <t>Sprint 2.5 now 13/20 shipped (Waves 1+2 + Wave 3 sub-batch A). Sub-batches B (per-role perm editor + owner exclusion + ROLES fix) and C (pending-invite visibility) remain. Cross-role matrix test is the regression harness — any new endpoint added later must add a matrix row.</t>
        </is>
      </c>
    </row>
    <row r="64">
      <c r="A64" t="inlineStr">
        <is>
          <t>FIX-004-D</t>
        </is>
      </c>
      <c r="B64" t="inlineStr">
        <is>
          <t>Sprint 2.5 / RBAC Wave 3 sub-batch B</t>
        </is>
      </c>
      <c r="C64" t="inlineStr">
        <is>
          <t>RBAC-14 + RBAC-15 + RBAC-16</t>
        </is>
      </c>
      <c r="D64" t="inlineStr">
        <is>
          <t>Role model: per-role permission editor + owner exclusions + production→operations canonical rename</t>
        </is>
      </c>
      <c r="E64" t="inlineStr">
        <is>
          <t>Wave 2 memberships made these possible; this fix ships them. RBAC-14: tenant.roles[i].permissions[] carries role-level perms. NEW endpoint PATCH /tenant/roles/{key}/permissions (team_manage). user_perms() 5-tier precedence: owner all-minus-exclusions -&gt; user override -&gt; tenant role map -&gt; ROLE_DEFAULT_PERMS -&gt; _BASE_PERMS. Custom roles ('warehouse_manager') can now carry finance/ledger/team_manage etc. without editing each user individually — a role is a policy unit again. RBAC-15: tenant.owner_exclusions:[str] lets a tenant deny specific perms to owner(s). NEW endpoint PUT /tenant/owner-exclusions (owner-only). Backward compat: empty list = classic all-perms owner. Solves 'co-founder with everything except finance visibility'. RBAC-16: canonical role name = 'operations' (matches DEFAULT_ROLES). config.ROLES rewritten. Bootstrap migration rename_production_role_v1 (via FIX-002-C ledger) rewrites tenant.roles[].key + users.role + memberships.role. Idempotent.</t>
        </is>
      </c>
      <c r="F64" t="inlineStr">
        <is>
          <t>config.py (ROLES canonical); core.py (get_current_user fetches tenant roles + owner_exclusions + populates _role_perms_map/_owner_exclusions on user; user_perms rewritten with 5-tier precedence); server.py (2 new endpoints: PATCH /tenant/roles/{key}/permissions + PUT /tenant/owner-exclusions; bootstrap rename_production_role_v1 migration)</t>
        </is>
      </c>
      <c r="G64" t="inlineStr">
        <is>
          <t>tests/test_rbac_wave3_role_model.py — 16 tests (8 per-role perms incl. precedence + endpoint gates, 5 owner exclusions incl. backward compat + PUT semantic + owner-only, 2 canonical rename + migration wiring, 1 get_current_user enrichment)</t>
        </is>
      </c>
      <c r="H64" s="106" t="inlineStr">
        <is>
          <t>Done</t>
        </is>
      </c>
      <c r="I64" t="inlineStr">
        <is>
          <t>P1</t>
        </is>
      </c>
      <c r="J64" t="inlineStr">
        <is>
          <t>2026-08-10</t>
        </is>
      </c>
      <c r="K64" t="inlineStr">
        <is>
          <t>2026-08-10</t>
        </is>
      </c>
      <c r="L64" t="inlineStr">
        <is>
          <t>f440c33</t>
        </is>
      </c>
      <c r="M64" t="inlineStr">
        <is>
          <t>Sprint 2.5 now 16/20 shipped (Waves 1+2 + Wave 3 A+B). Only Wave 3 sub-batch C (RBAC-17) remains in Wave 3. Frontend Settings UI logged as FIX-FUP-26.</t>
        </is>
      </c>
    </row>
    <row r="65">
      <c r="A65" t="inlineStr">
        <is>
          <t>FIX-FUP-26</t>
        </is>
      </c>
      <c r="B65" t="inlineStr">
        <is>
          <t>Follow-up (from FIX-004-D)</t>
        </is>
      </c>
      <c r="C65" t="inlineStr">
        <is>
          <t>(logged during Wave 3-B)</t>
        </is>
      </c>
      <c r="D65" t="inlineStr">
        <is>
          <t>Frontend Settings UI: per-role permission editor + owner exclusions</t>
        </is>
      </c>
      <c r="E65" t="inlineStr">
        <is>
          <t>Backend endpoints ship in FIX-004-D. Frontend needs: (a) Team &amp; Roles settings page adds a permission-checkbox matrix per tenant role, POSTs to PATCH /tenant/roles/{key}/permissions; (b) Owner settings page adds an exclusion-checkbox list, PUTs to /tenant/owner-exclusions. Admins can already call the endpoints via curl but the UX story isn't complete until the UI ships.</t>
        </is>
      </c>
      <c r="F65" t="inlineStr">
        <is>
          <t>frontend/src pages: Settings, Team, Roles</t>
        </is>
      </c>
      <c r="G65" t="inlineStr">
        <is>
          <t>manual: edit a role's perms in UI, verify a member's effective perms reflect the change on next request</t>
        </is>
      </c>
      <c r="H65" t="inlineStr">
        <is>
          <t>Not Started</t>
        </is>
      </c>
      <c r="I65" t="inlineStr">
        <is>
          <t>P1</t>
        </is>
      </c>
      <c r="M65" t="inlineStr">
        <is>
          <t>Backend is deploy-ready; UI blocks non-technical admin usage.</t>
        </is>
      </c>
    </row>
    <row r="66">
      <c r="A66" t="inlineStr">
        <is>
          <t>FIX-004-E</t>
        </is>
      </c>
      <c r="B66" t="inlineStr">
        <is>
          <t>Sprint 2.5 / RBAC Wave 3 sub-batch C</t>
        </is>
      </c>
      <c r="C66" t="inlineStr">
        <is>
          <t>RBAC-17</t>
        </is>
      </c>
      <c r="D66" t="inlineStr">
        <is>
          <t>Pending-invite visibility on GET /users + POST /users/{id}/uninvite</t>
        </is>
      </c>
      <c r="E66" t="inlineStr">
        <is>
          <t>Small ship that surfaces what Wave 2 already made possible. GET /users now merges membership.status onto each user (pending|active|suspended|removed excluded) + invited_at + accepted_at so admin UI can render a Pending badge. Legacy users without membership rows default to 'active'. NEW endpoint POST /users/{id}/uninvite (team_manage) revokes a pending invite: soft-deletes membership + wipes invite_token on user doc so the invite URL stops resolving. Refuses non-pending targets (use suspend/delete instead). Emits log_activity('user_uninvited').</t>
        </is>
      </c>
      <c r="F66" t="inlineStr">
        <is>
          <t>routers/team.py (list_users enrichment + new uninvite_user endpoint)</t>
        </is>
      </c>
      <c r="G66" t="inlineStr">
        <is>
          <t>tests/test_rbac_wave3_invite_status.py — 8 tests (3 list enrichment, 5 uninvite gate/refusal/token-invalidation/logging)</t>
        </is>
      </c>
      <c r="H66" s="106" t="inlineStr">
        <is>
          <t>Done</t>
        </is>
      </c>
      <c r="I66" t="inlineStr">
        <is>
          <t>P1</t>
        </is>
      </c>
      <c r="J66" t="inlineStr">
        <is>
          <t>2026-08-10</t>
        </is>
      </c>
      <c r="K66" t="inlineStr">
        <is>
          <t>2026-08-10</t>
        </is>
      </c>
      <c r="L66" t="inlineStr">
        <is>
          <t>1541439</t>
        </is>
      </c>
      <c r="M66" t="inlineStr">
        <is>
          <t>Sprint 2.5 now 17/20 shipped. RBAC Wave 3 COMPLETE. Remaining: RBAC-18 department scope (Sprint 4), RBAC-19 user groups (Sprint 4), RBAC-30 customer portal (Sprint 5).</t>
        </is>
      </c>
    </row>
    <row r="67">
      <c r="A67" t="inlineStr">
        <is>
          <t>FIX-004-F</t>
        </is>
      </c>
      <c r="B67" t="inlineStr">
        <is>
          <t>Sprint 2.5 / RBAC Wave 4-A</t>
        </is>
      </c>
      <c r="C67" t="inlineStr">
        <is>
          <t>RBAC-20</t>
        </is>
      </c>
      <c r="D67" t="inlineStr">
        <is>
          <t>Immutable audit log (SOC2/DPDP/GDPR compliance)</t>
        </is>
      </c>
      <c r="E67" t="inlineStr">
        <is>
          <t>New services/audit_log.py: append-only, best-effort record() + tenant-scoped query() + context_from() request/user extractor. Fail-open by design — Mongo hiccup during audit write must not fail user action. NEVER raises. 35 canonical action names in ACTIONS registry for review-time typo catch. Bootstrap creates 3 indexes: (tenant_id, ts DESC), (actor_id, ts DESC), (tenant_id, entity_type, entity_id). NO TTL (rows live forever for compliance). NO PATCH/DELETE endpoints — API-layer append-only; tampering requires DB access. GET /admin/audit-log endpoint (owner-only) supports action/actor_id/entity_type/entity_id/since_ts/before_ts filters + limit (capped 500) + cursor paging. High-value events wired to record() this ship: login_success + login_failure (captures attempted email on unknown user), logout (records even on invalid token), tenant_created + user_created on register, owner_exclusions_updated with before/after diff. Expanding call-site coverage to user_deleted / role_deleted / decision_approved / etc. logged as FIX-FUP-27 — 3-line change per event, non-blocker.</t>
        </is>
      </c>
      <c r="F67" t="inlineStr">
        <is>
          <t>services/audit_log.py (new); server.py (bootstrap: 3 indexes + GET /admin/audit-log endpoint + owner_exclusions audit wire); routers/auth.py (login success + failure audit, logout audit, register tenant+user audit)</t>
        </is>
      </c>
      <c r="G67" t="inlineStr">
        <is>
          <t>tests/test_audit_log.py — 24 tests (5 record contract incl. fail-open + string caps, 6 query contract incl. tenant isolation + paging, 4 context_from variants, 1 bootstrap, 3 endpoint incl. no-PATCH/DELETE guard, 5 wire-up on login/logout/register/owner-exclusions)</t>
        </is>
      </c>
      <c r="H67" s="106" t="inlineStr">
        <is>
          <t>Done</t>
        </is>
      </c>
      <c r="I67" t="inlineStr">
        <is>
          <t>P0</t>
        </is>
      </c>
      <c r="J67" t="inlineStr">
        <is>
          <t>2026-08-10</t>
        </is>
      </c>
      <c r="K67" t="inlineStr">
        <is>
          <t>2026-08-10</t>
        </is>
      </c>
      <c r="L67" t="inlineStr">
        <is>
          <t>cc7c698</t>
        </is>
      </c>
      <c r="M67" t="inlineStr">
        <is>
          <t>Sprint 2.5 now 18/20 shipped. Wave 4 sub-batch 1/3 done — sub-batches G (session mgmt UI, RBAC-21) and H (off-boarding wizard, RBAC-22) remain. Blocks-go-live P0 requirement for SOC 2 / DPDP compliance now met.</t>
        </is>
      </c>
    </row>
    <row r="68">
      <c r="A68" t="inlineStr">
        <is>
          <t>FIX-FUP-27</t>
        </is>
      </c>
      <c r="B68" t="inlineStr">
        <is>
          <t>Follow-up (from FIX-004-F)</t>
        </is>
      </c>
      <c r="C68" t="inlineStr">
        <is>
          <t>(logged during Wave 4-A)</t>
        </is>
      </c>
      <c r="D68" t="inlineStr">
        <is>
          <t>Expand audit_log.record() call-site coverage across mutating events</t>
        </is>
      </c>
      <c r="E68" t="inlineStr">
        <is>
          <t>Wave 4-A ships the audit-log service + 4 high-value event call sites (login, logout, register, owner-exclusions). Progressive coverage needed on the rest of the ACTIONS registry: user_deleted, user_uninvited, role_deleted, role_permissions_updated, decision_approved/rejected, capture_approved/rejected, workflow_deleted, task_deleted, tenant_deleted (from admin.py), platform_admin_tenant_wipe, ai_key_updated. Each is a 3-line change: audit_log.context_from(request, user) + await record(db, action='...', entity_type='...', entity_id='...', before/after, **ctx). Non-blocker — infra is ready, incremental fill-in.</t>
        </is>
      </c>
      <c r="F68" t="inlineStr">
        <is>
          <t>routers/admin.py, routers/team.py, routers/decisions.py, routers/tasks.py, server.py</t>
        </is>
      </c>
      <c r="G68" t="inlineStr">
        <is>
          <t>test: each new call site verified via grep + one integration assertion per event</t>
        </is>
      </c>
      <c r="H68" t="inlineStr">
        <is>
          <t>Not Started</t>
        </is>
      </c>
      <c r="I68" t="inlineStr">
        <is>
          <t>P1</t>
        </is>
      </c>
      <c r="M68" t="inlineStr">
        <is>
          <t>Post-FIX-004-F incremental. Ship as batches of 3-4 events per commit.</t>
        </is>
      </c>
    </row>
    <row r="69">
      <c r="A69" t="inlineStr">
        <is>
          <t>FIX-FUP-28</t>
        </is>
      </c>
      <c r="B69" t="inlineStr">
        <is>
          <t>Follow-up (from FIX-004-F)</t>
        </is>
      </c>
      <c r="C69" t="inlineStr">
        <is>
          <t>(logged during Wave 4-A)</t>
        </is>
      </c>
      <c r="D69" t="inlineStr">
        <is>
          <t>Audit log retention policy (TTL + off-hot-storage archive)</t>
        </is>
      </c>
      <c r="E69" t="inlineStr">
        <is>
          <t>Currently audit_log has NO TTL — rows live forever. Compliance regimes (SOC 2, DPDP) require min retention (12-24 months typically) but max retention is a business decision (privacy vs forensics tradeoff). Also: hot Mongo isn't the cheapest place to keep 5-year audit history. Plan an archive path: TTL on hot rows + cold storage (S3 / obj_store) for archived tail. Blocks nothing today; revisit before we sell to a customer whose contract requires a retention SLA.</t>
        </is>
      </c>
      <c r="F69" t="inlineStr">
        <is>
          <t>services/audit_log.py + scheduler job + obj_store integration</t>
        </is>
      </c>
      <c r="G69" t="inlineStr">
        <is>
          <t>test: TTL wipes rows past retention window; archive job moves them intact</t>
        </is>
      </c>
      <c r="H69" t="inlineStr">
        <is>
          <t>Not Started</t>
        </is>
      </c>
      <c r="I69" t="inlineStr">
        <is>
          <t>P2</t>
        </is>
      </c>
      <c r="M69" t="inlineStr">
        <is>
          <t>Sprint 5 (DevOps + compliance) territory.</t>
        </is>
      </c>
    </row>
    <row r="70">
      <c r="A70" t="inlineStr">
        <is>
          <t>FIX-004-G</t>
        </is>
      </c>
      <c r="B70" t="inlineStr">
        <is>
          <t>Sprint 2.5 / RBAC Wave 4-B</t>
        </is>
      </c>
      <c r="C70" t="inlineStr">
        <is>
          <t>RBAC-21</t>
        </is>
      </c>
      <c r="D70" t="inlineStr">
        <is>
          <t>Session-management UI (/me/sessions list + revoke by device)</t>
        </is>
      </c>
      <c r="E70" t="inlineStr">
        <is>
          <t>New services/auth/session_tracking.py extends the FIX-003-C revocation infra with device metadata (ua, ip, last_seen_at). NEW active_sessions collection with jti unique index + user_id/created_at index + exp TTL for auto-purge. record_session/touch_session/list_sessions/revoke_one_session/revoke_all_sessions_for_user (with tenant_id + keep_jti knobs). get_current_user gained touch_session call so /me/sessions shows accurate last-seen. login + register + switch-workspace all record the new jti. 3 new endpoints: GET /me/sessions (marks current session), DELETE /me/sessions/{jti} (ownership-guarded), DELETE /me/sessions (revoke all except current).</t>
        </is>
      </c>
      <c r="F70" t="inlineStr">
        <is>
          <t>services/auth/session_tracking.py (new); services/auth/__init__.py (exports); core.py (get_current_user calls touch_session); server.py (bootstrap: 3 active_sessions indexes); routers/auth.py (login + register + switch-workspace record + 3 new endpoints)</t>
        </is>
      </c>
      <c r="G70" t="inlineStr">
        <is>
          <t>tests/test_session_mgmt.py — 20 tests (4 record contract incl. fail-open + UA cap, 3 list incl. user isolation + tenant filter, 3 revoke_one incl. ownership guard, 2 revoke_all incl. keep_jti + tenant filter, 1 bootstrap indexes, 3 endpoint source guards, 1 get_current_user touch, 3 wire-up on login/register/switch)</t>
        </is>
      </c>
      <c r="H70" s="106" t="inlineStr">
        <is>
          <t>Done</t>
        </is>
      </c>
      <c r="I70" t="inlineStr">
        <is>
          <t>P0</t>
        </is>
      </c>
      <c r="J70" t="inlineStr">
        <is>
          <t>2026-08-10</t>
        </is>
      </c>
      <c r="K70" t="inlineStr">
        <is>
          <t>2026-08-10</t>
        </is>
      </c>
      <c r="L70" t="inlineStr">
        <is>
          <t>d95ae44</t>
        </is>
      </c>
      <c r="M70" t="inlineStr">
        <is>
          <t>Sprint 2.5: 19/20. Only RBAC-22 (off-boarding wizard) left. Backend done — frontend /settings/sessions UI logged as FIX-FUP-29.</t>
        </is>
      </c>
    </row>
    <row r="71">
      <c r="A71" t="inlineStr">
        <is>
          <t>FIX-FUP-29</t>
        </is>
      </c>
      <c r="B71" t="inlineStr">
        <is>
          <t>Follow-up (from FIX-004-G)</t>
        </is>
      </c>
      <c r="C71" t="inlineStr">
        <is>
          <t>(logged during Wave 4-B)</t>
        </is>
      </c>
      <c r="D71" t="inlineStr">
        <is>
          <t>Frontend Settings &gt; Sessions UI</t>
        </is>
      </c>
      <c r="E71" t="inlineStr">
        <is>
          <t>Backend ships GET/DELETE /me/sessions + DELETE /me/sessions/{jti}. Frontend needs Settings page listing sessions with UA/IP/last-seen + revoke buttons (individual + 'sign out other devices'). Row for current session should be marked distinct (grey out revoke).</t>
        </is>
      </c>
      <c r="F71" t="inlineStr">
        <is>
          <t>frontend/src pages: Settings/Sessions</t>
        </is>
      </c>
      <c r="G71" t="inlineStr">
        <is>
          <t>manual: log in on 2 devices, revoke the other from device 1, verify device 2 401s</t>
        </is>
      </c>
      <c r="H71" t="inlineStr">
        <is>
          <t>Not Started</t>
        </is>
      </c>
      <c r="I71" t="inlineStr">
        <is>
          <t>P1</t>
        </is>
      </c>
      <c r="M71" t="inlineStr">
        <is>
          <t>Backend deploy-ready; UI blocks user self-serve session control.</t>
        </is>
      </c>
    </row>
    <row r="72">
      <c r="A72" t="inlineStr">
        <is>
          <t>FIX-004-H</t>
        </is>
      </c>
      <c r="B72" t="inlineStr">
        <is>
          <t>Sprint 2.5 / RBAC Wave 4-C</t>
        </is>
      </c>
      <c r="C72" t="inlineStr">
        <is>
          <t>RBAC-22</t>
        </is>
      </c>
      <c r="D72" t="inlineStr">
        <is>
          <t>Off-boarding wizard (deprovisioning) — RBAC Wave 4 COMPLETE</t>
        </is>
      </c>
      <c r="E72" t="inlineStr">
        <is>
          <t>New services/deprovisioning.py orchestrates 6 idempotent steps into one call: last-owner guard + tenant-scoped session revoke + soft-remove membership + invalidate invite_token + reassign owned tasks + reassign authored contacts + audit_log entry. New endpoint POST /users/{id}/deprovision {reassign_to_user_id?} — owner-only. Self-deprovision refused. Replacement user validated as LIVE member. Returns per-step report for UI confirmation. Session revoke is TENANT-SCOPED — a user's sessions in other tenants they belong to survive. Task reassignment updates denormalized assignee_role. No reassign target = null the fields.</t>
        </is>
      </c>
      <c r="F72" t="inlineStr">
        <is>
          <t>services/deprovisioning.py (new); routers/team.py (new POST /users/{id}/deprovision endpoint + DeprovisionInput model + BaseModel import)</t>
        </is>
      </c>
      <c r="G72" t="inlineStr">
        <is>
          <t>tests/test_deprovisioning.py — 11 tests (2 fresh full-run with + without replacement, 1 idempotent, 2 last-owner guard, 1 tenant scoping, 1 audit entry, 4 endpoint gates)</t>
        </is>
      </c>
      <c r="H72" s="106" t="inlineStr">
        <is>
          <t>Done</t>
        </is>
      </c>
      <c r="I72" t="inlineStr">
        <is>
          <t>P0</t>
        </is>
      </c>
      <c r="J72" t="inlineStr">
        <is>
          <t>2026-08-10</t>
        </is>
      </c>
      <c r="K72" t="inlineStr">
        <is>
          <t>2026-08-10</t>
        </is>
      </c>
      <c r="L72" t="inlineStr">
        <is>
          <t>309ef84</t>
        </is>
      </c>
      <c r="M72" t="inlineStr">
        <is>
          <t>RBAC WAVE 4 COMPLETE — 3/3 sub-batches shipped (F+G+H). Sprint 2.5 now 20/20. Full RBAC roadmap Waves 1-4 COMPLETE — 20 of 30 audit items shipped. Remaining 10 are Sprint 4/5 items: RBAC-18 (department scope), RBAC-19 (user groups), RBAC-23..28 (2FA, ownership transfer, DPDP consent, delegation, time-bounded perms, SSO, API keys), RBAC-30 (customer portal).</t>
        </is>
      </c>
    </row>
    <row r="73">
      <c r="A73" t="inlineStr">
        <is>
          <t>FIX-FUP-30</t>
        </is>
      </c>
      <c r="B73" t="inlineStr">
        <is>
          <t>Follow-up (from FIX-004-H)</t>
        </is>
      </c>
      <c r="C73" t="inlineStr">
        <is>
          <t>(logged during Wave 4-C)</t>
        </is>
      </c>
      <c r="D73" t="inlineStr">
        <is>
          <t>Ownership transfer wizard (owner-to-owner)</t>
        </is>
      </c>
      <c r="E73" t="inlineStr">
        <is>
          <t>Deprovisioning's last-owner guard is correct behavior — it blocks removing the only owner. But it leaves no path out. Need a separate 'transfer ownership' flow: promote another member to owner, then optionally deprovision the previous owner. 2FA confirmation recommended for the promoting owner.</t>
        </is>
      </c>
      <c r="F73" t="inlineStr">
        <is>
          <t>new endpoint POST /tenant/transfer-ownership + service</t>
        </is>
      </c>
      <c r="G73" t="inlineStr">
        <is>
          <t>test: two-owner state achieved, previous owner deprovisions cleanly</t>
        </is>
      </c>
      <c r="H73" t="inlineStr">
        <is>
          <t>Not Started</t>
        </is>
      </c>
      <c r="I73" t="inlineStr">
        <is>
          <t>P1</t>
        </is>
      </c>
      <c r="M73" t="inlineStr">
        <is>
          <t>RBAC-24 in the audit — Sprint 3 territory.</t>
        </is>
      </c>
    </row>
    <row r="74">
      <c r="A74" t="inlineStr">
        <is>
          <t>FIX-FUP-31</t>
        </is>
      </c>
      <c r="B74" t="inlineStr">
        <is>
          <t>Follow-up (from FIX-004-H)</t>
        </is>
      </c>
      <c r="C74" t="inlineStr">
        <is>
          <t>(logged during Wave 4-C)</t>
        </is>
      </c>
      <c r="D74" t="inlineStr">
        <is>
          <t>Cascade decisions in deprovision</t>
        </is>
      </c>
      <c r="E74" t="inlineStr">
        <is>
          <t>Today deprovision reassigns tasks + contacts but NOT decisions where created_by = target. Small addition — same pattern as tasks. Decision-approver relationships also worth considering: if target was designated approver for pending decisions, they need routing to the replacement.</t>
        </is>
      </c>
      <c r="F74" t="inlineStr">
        <is>
          <t>services/deprovisioning.py</t>
        </is>
      </c>
      <c r="G74" t="inlineStr">
        <is>
          <t>test: fresh deprovision reassigns created_by decisions + approver_id decisions</t>
        </is>
      </c>
      <c r="H74" t="inlineStr">
        <is>
          <t>Not Started</t>
        </is>
      </c>
      <c r="I74" t="inlineStr">
        <is>
          <t>P2</t>
        </is>
      </c>
      <c r="M74" t="inlineStr">
        <is>
          <t>Incremental improvement on FIX-004-H.</t>
        </is>
      </c>
    </row>
    <row r="75">
      <c r="A75" t="inlineStr">
        <is>
          <t>FIX-FUP-32</t>
        </is>
      </c>
      <c r="B75" t="inlineStr">
        <is>
          <t>Follow-up (from FIX-004-H)</t>
        </is>
      </c>
      <c r="C75" t="inlineStr">
        <is>
          <t>(logged during Wave 4-C)</t>
        </is>
      </c>
      <c r="D75" t="inlineStr">
        <is>
          <t>Frontend off-boarding wizard UI</t>
        </is>
      </c>
      <c r="E75" t="inlineStr">
        <is>
          <t>Backend done. Frontend needs: Team &gt; Member detail page adds 'Remove from workspace' button that opens a wizard: pick replacement member (dropdown of live members), preview count of items to reassign, confirm modal, POST /users/{id}/deprovision, show report summary.</t>
        </is>
      </c>
      <c r="F75" t="inlineStr">
        <is>
          <t>frontend/src pages: Team/MemberDetail, Team/OffboardWizard</t>
        </is>
      </c>
      <c r="G75" t="inlineStr">
        <is>
          <t>manual: off-board a test member, verify counts match backend report</t>
        </is>
      </c>
      <c r="H75" t="inlineStr">
        <is>
          <t>Not Started</t>
        </is>
      </c>
      <c r="I75" t="inlineStr">
        <is>
          <t>P1</t>
        </is>
      </c>
      <c r="M75" t="inlineStr">
        <is>
          <t>Backend deploy-ready via curl.</t>
        </is>
      </c>
    </row>
    <row r="76">
      <c r="A76" t="inlineStr">
        <is>
          <t>FIX-005-A</t>
        </is>
      </c>
      <c r="B76" t="inlineStr">
        <is>
          <t>Sprint 3 / Billing + AI Keys</t>
        </is>
      </c>
      <c r="C76" t="inlineStr">
        <is>
          <t>S3-02 + S3-03</t>
        </is>
      </c>
      <c r="D76" t="inlineStr">
        <is>
          <t>Plan/entitlement fields + per-tenant AI keys</t>
        </is>
      </c>
      <c r="E76" t="inlineStr">
        <is>
          <t>Two Sprint 3 items shipped together — both pure data-model + resolver changes, no external integration. S3-02: services/plans.py with 5 plans (trial/starter/business/enterprise/grandfathered), each carries seat_limit + quotas (llm_tokens/stt_minutes/storage/brain_docs) + features (whatsapp/sso/api_keys). effective_plan(tenant) merges base + tenant overrides. new_tenant_plan_fields() called in register for trial+14d. enforce_seat_limit raises 402 with upgrade prompt. Bootstrap migration backfill_grandfathered_plans_v1 marks pre-plan tenants — same generous shape as business, retained forever, zero user-visible change. team.py create_user calls enforce_seat_limit BEFORE any writes. S3-03: services/tenant_ai_keys.py resolves keys with precedence tenant-&gt;platform-&gt;none. 3 owner-only endpoints on /tenant/ai-keys (GET list with masked previews, PUT replace map with audit_log per-provider-change rotation events, DELETE revert to platform pool). Never logs the raw key value — regression-guarded in tests.</t>
        </is>
      </c>
      <c r="F76" t="inlineStr">
        <is>
          <t>services/plans.py (new: plan model + effective_plan + enforce_seat_limit); services/tenant_ai_keys.py (new: resolve_ai_key + normalize + summarize); server.py (GET /tenant/plan + 3 /tenant/ai-keys endpoints + backfill migration); routers/auth.py (register initializes plan fields via new_tenant_plan_fields); routers/team.py (create_user enforces seat limit)</t>
        </is>
      </c>
      <c r="G76" t="inlineStr">
        <is>
          <t>tests/test_plans_and_ai_keys.py — 38 tests (7 effective_plan, 3 trial expiry, 3 has_feature, 1 defaults, 3 enforce_seat_limit, 1 register wire, 1 bootstrap migration, 5 resolve_ai_key precedence, 2 source, 3 normalize, 1 no-secret-leak, 4 endpoint gates, 3 PUT audit + no-leak guard, 1 delete revert, 1 seat-limit BEFORE-insert order)</t>
        </is>
      </c>
      <c r="H76" s="106" t="inlineStr">
        <is>
          <t>Done</t>
        </is>
      </c>
      <c r="I76" t="inlineStr">
        <is>
          <t>P0</t>
        </is>
      </c>
      <c r="J76" t="inlineStr">
        <is>
          <t>2026-08-10</t>
        </is>
      </c>
      <c r="K76" t="inlineStr">
        <is>
          <t>2026-08-10</t>
        </is>
      </c>
      <c r="L76" t="inlineStr">
        <is>
          <t>afbf9b8</t>
        </is>
      </c>
      <c r="M76" t="inlineStr">
        <is>
          <t>Sprint 3: 2/5 shipped (+ 3 RBAC items TBD). Billing provider = Razorpay (India-primary). S3-01 deferred until we're ready for external integration. Follow-ups: FIX-FUP-33 (secrets manager for ai_keys), FIX-FUP-34 (provider outage transparent fallback).</t>
        </is>
      </c>
    </row>
    <row r="77">
      <c r="A77" t="inlineStr">
        <is>
          <t>FIX-FUP-33</t>
        </is>
      </c>
      <c r="B77" t="inlineStr">
        <is>
          <t>Follow-up (from FIX-005-A)</t>
        </is>
      </c>
      <c r="C77" t="inlineStr">
        <is>
          <t>(logged during S3-03)</t>
        </is>
      </c>
      <c r="D77" t="inlineStr">
        <is>
          <t>Move tenant.ai_keys to a real secrets manager</t>
        </is>
      </c>
      <c r="E77" t="inlineStr">
        <is>
          <t>tenant.ai_keys stored plain-text in Mongo. Fine for MVP, red flag on a security review. Move to AWS Secrets Manager / HashiCorp Vault / Cloudflare Secrets Store. Wrap services/tenant_ai_keys.resolve_ai_key to fetch from the secrets manager instead of the tenant doc; keep the current in-doc storage as a fallback during migration.</t>
        </is>
      </c>
      <c r="F77" t="inlineStr">
        <is>
          <t>services/tenant_ai_keys.py + new services/secrets_manager.py</t>
        </is>
      </c>
      <c r="G77" t="inlineStr">
        <is>
          <t>test: rotate key in secrets manager, verify resolve returns new value on next call</t>
        </is>
      </c>
      <c r="H77" t="inlineStr">
        <is>
          <t>Not Started</t>
        </is>
      </c>
      <c r="I77" t="inlineStr">
        <is>
          <t>P1</t>
        </is>
      </c>
      <c r="M77" t="inlineStr">
        <is>
          <t>Sprint 5 (DevOps/security). Blocks enterprise-tier sales.</t>
        </is>
      </c>
    </row>
    <row r="78">
      <c r="A78" t="inlineStr">
        <is>
          <t>FIX-FUP-34</t>
        </is>
      </c>
      <c r="B78" t="inlineStr">
        <is>
          <t>Follow-up (from FIX-005-A)</t>
        </is>
      </c>
      <c r="C78" t="inlineStr">
        <is>
          <t>(logged during S3-03)</t>
        </is>
      </c>
      <c r="D78" t="inlineStr">
        <is>
          <t>AI provider outage transparent fallback (tenant key -&gt; platform)</t>
        </is>
      </c>
      <c r="E78" t="inlineStr">
        <is>
          <t>When a tenant's key returns 429/500, transparently fall back to the platform pool for that request + notify the tenant. Improves reliability without exposing platform quota to abuse (rate-limit the fallback to a low ceiling per tenant/hr).</t>
        </is>
      </c>
      <c r="F78" t="inlineStr">
        <is>
          <t>core.py LLM wrappers + services/tenant_ai_keys.py</t>
        </is>
      </c>
      <c r="G78" t="inlineStr">
        <is>
          <t>test: mock 429 on tenant key, verify fallback + notification + rate-limit on fallback</t>
        </is>
      </c>
      <c r="H78" t="inlineStr">
        <is>
          <t>Not Started</t>
        </is>
      </c>
      <c r="I78" t="inlineStr">
        <is>
          <t>P2</t>
        </is>
      </c>
      <c r="M78" t="inlineStr">
        <is>
          <t>Depends on RBAC-23 (2FA) being live so admin can rotate the key confidently after an outage.</t>
        </is>
      </c>
    </row>
    <row r="79">
      <c r="A79" t="inlineStr">
        <is>
          <t>FIX-005-B</t>
        </is>
      </c>
      <c r="B79" t="inlineStr">
        <is>
          <t>Sprint 3 / Usage Quotas</t>
        </is>
      </c>
      <c r="C79" t="inlineStr">
        <is>
          <t>S3-04</t>
        </is>
      </c>
      <c r="D79" t="inlineStr">
        <is>
          <t>Usage-quota enforcement (402 on exceed)</t>
        </is>
      </c>
      <c r="E79" t="inlineStr">
        <is>
          <t>New services/quotas.py: check_quota reads current-month usage_events aggregation, compares to plan cap from FIX-005-A. cost param lets caller pre-block a request that would push over. Fail-open on Mongo blip — quota infra failure never blocks AI. 4 resources: llm_tokens_total (sums usage_events.tokens_total), stt_minutes (sums usage_events.units where unit_type=minutes), storage_bytes (sums files.size), brain_docs (counts brain_documents). Aggregation window = current UTC calendar month, resets on 1st. guarded_llm now reads _ctx_tenant contextvar and enforces quota BEFORE taking semaphore slot — raises HTTPException(402) with structured detail {code, resource, message, usage, cap, plan}. NEW skip_quota_check kwarg bypasses check for admin key-probe (would be user-hostile). GET /tenant/usage returns every quota with usage/cap/percent/over — powers frontend dashboard.</t>
        </is>
      </c>
      <c r="F79" t="inlineStr">
        <is>
          <t>services/quotas.py (new); services/ai/llm_limits.py (guarded_llm quota check + skip_quota_check kwarg); server.py (GET /tenant/usage endpoint); routers/admin.py (probe passes skip_quota_check=True)</t>
        </is>
      </c>
      <c r="G79" t="inlineStr">
        <is>
          <t>tests/test_quotas.py — 16 tests (6 check_quota incl. unlimited/under/over/cost-projection/last-month/tenant-isolation, 2 storage + brain_docs sources, 2 status shape, 1 status_all row-per-quota, 4 guarded_llm wiring incl. fail-open, 1 endpoint)</t>
        </is>
      </c>
      <c r="H79" s="106" t="inlineStr">
        <is>
          <t>Done</t>
        </is>
      </c>
      <c r="I79" t="inlineStr">
        <is>
          <t>P1</t>
        </is>
      </c>
      <c r="J79" t="inlineStr">
        <is>
          <t>2026-08-10</t>
        </is>
      </c>
      <c r="K79" t="inlineStr">
        <is>
          <t>2026-08-10</t>
        </is>
      </c>
      <c r="L79" t="inlineStr">
        <is>
          <t>29d2238</t>
        </is>
      </c>
      <c r="M79" t="inlineStr">
        <is>
          <t>Sprint 3: 3/5 shipped (S3-02, S3-03, S3-04). Only S3-01 (Razorpay billing, deferred) + 3 RBAC items (23/24/25) remain. FIX-FUP-35 logged for soft-limit warning emails (75/90/100% thresholds).</t>
        </is>
      </c>
    </row>
    <row r="80">
      <c r="A80" t="inlineStr">
        <is>
          <t>FIX-FUP-35</t>
        </is>
      </c>
      <c r="B80" t="inlineStr">
        <is>
          <t>Follow-up (from FIX-005-B)</t>
        </is>
      </c>
      <c r="C80" t="inlineStr">
        <is>
          <t>(logged during S3-04)</t>
        </is>
      </c>
      <c r="D80" t="inlineStr">
        <is>
          <t>Soft-limit warning emails at 75/90/100% quota thresholds</t>
        </is>
      </c>
      <c r="E80" t="inlineStr">
        <is>
          <t>Backend reports percent + over flag via quota_status. A scheduler task should sweep daily, compare current percent to previously-notified threshold on tenant (persist last_notified_thresholds dict), and send an email at each crossing so tenants hit the cap with warning not surprise. Templates in services/auth_emails.py.</t>
        </is>
      </c>
      <c r="F80" t="inlineStr">
        <is>
          <t>new services/quota_alerts.py + scheduler hook</t>
        </is>
      </c>
      <c r="G80" t="inlineStr">
        <is>
          <t>test: 75% threshold triggers email once, subsequent runs don't re-send unless dropped + re-crossed</t>
        </is>
      </c>
      <c r="H80" t="inlineStr">
        <is>
          <t>Not Started</t>
        </is>
      </c>
      <c r="I80" t="inlineStr">
        <is>
          <t>P2</t>
        </is>
      </c>
      <c r="M80" t="inlineStr">
        <is>
          <t>Post-Wave-5 polish; not go-live blocker but big UX improvement.</t>
        </is>
      </c>
    </row>
    <row r="81">
      <c r="A81" t="inlineStr">
        <is>
          <t>FIX-005-C</t>
        </is>
      </c>
      <c r="B81" t="inlineStr">
        <is>
          <t>Sprint 3 / Compliance</t>
        </is>
      </c>
      <c r="C81" t="inlineStr">
        <is>
          <t>RBAC-25</t>
        </is>
      </c>
      <c r="D81" t="inlineStr">
        <is>
          <t>DPDP AI-consent tracking (India-mandatory)</t>
        </is>
      </c>
      <c r="E81" t="inlineStr">
        <is>
          <t>New services/ai_consent.py: tenant.ai_consent = {granted_at, granted_by_user_id, granted_by_email, ip, ua, version, revoked_at}. CURRENT_CONSENT_VERSION='1.0' — bump when scope changes, tenants must re-consent. has_active_consent hot-path reader. consent_status frontend shape deliberately OMITS IP/UA (audit-only). needs_reconsent flag for version-drift. require_ai_consent raises HTTPException(451 'Unavailable For Legal Reasons') with structured detail — frontend maps to consent modal. 3 endpoints: GET (any user, banner state), POST (owner grants + captures IP/UA/UA/version), DELETE (owner flips revoked_at + preserves grant history). Both mutations emit audit_log rows. Enforcement wired at guarded_llm BEFORE quota check — single tenants.find_one reused for both consent + plan-quota reads (no double round-trip). Fail-open on Mongo blip, skip_quota_check bypasses (admin probe).</t>
        </is>
      </c>
      <c r="F81" t="inlineStr">
        <is>
          <t>services/ai_consent.py (new: has_active_consent + require_ai_consent + build_grant/revoke + consent_status); services/ai/llm_limits.py (guarded_llm calls require_ai_consent BEFORE quota check, reuses tenant fetch); server.py (3 /tenant/ai-consent endpoints + AiConsentGrantInput model)</t>
        </is>
      </c>
      <c r="G81" t="inlineStr">
        <is>
          <t>tests/test_ai_consent.py — 23 tests (5 has_active_consent state matrix, 3 consent_status incl. no-IP-leak, 3 require_ai_consent, 2 build_grant, 1 build_revoke, 7 endpoint gates + audit emission, 2 guarded_llm gate + fetch reuse)</t>
        </is>
      </c>
      <c r="H81" s="106" t="inlineStr">
        <is>
          <t>Done</t>
        </is>
      </c>
      <c r="I81" t="inlineStr">
        <is>
          <t>P1</t>
        </is>
      </c>
      <c r="J81" t="inlineStr">
        <is>
          <t>2026-08-10</t>
        </is>
      </c>
      <c r="K81" t="inlineStr">
        <is>
          <t>2026-08-10</t>
        </is>
      </c>
      <c r="L81" t="inlineStr">
        <is>
          <t>4115624</t>
        </is>
      </c>
      <c r="M81" t="inlineStr">
        <is>
          <t>Sprint 3: 4/5 shipped. India DPDP-blocker closed. FIX-005-D (RBAC-23 2FA + RBAC-24 ownership transfer) next — the two go together since transfer needs 2FA confirm. S3-01 (Razorpay billing) deferred. FIX-FUP-36 (email nudge on version bump) + FIX-FUP-37 (extend gate to STT/vision) logged.</t>
        </is>
      </c>
    </row>
    <row r="82">
      <c r="A82" t="inlineStr">
        <is>
          <t>FIX-FUP-36</t>
        </is>
      </c>
      <c r="B82" t="inlineStr">
        <is>
          <t>Follow-up (from FIX-005-C)</t>
        </is>
      </c>
      <c r="C82" t="inlineStr">
        <is>
          <t>(logged during RBAC-25)</t>
        </is>
      </c>
      <c r="D82" t="inlineStr">
        <is>
          <t>Consent-doc versioning UX: email nudge on version bump</t>
        </is>
      </c>
      <c r="E82" t="inlineStr">
        <is>
          <t>When CURRENT_CONSENT_VERSION bumps, consent_status flags needs_reconsent=True but nothing emails the owner. Add scheduler task that sweeps tenants where ai_consent.version &lt; CURRENT and sends a re-consent email once per version bump. Suppress duplicate sends via last_reconsent_notified_version on tenant doc.</t>
        </is>
      </c>
      <c r="F82" t="inlineStr">
        <is>
          <t>new services/consent_alerts.py + scheduler hook + services/auth_emails.py template</t>
        </is>
      </c>
      <c r="G82" t="inlineStr">
        <is>
          <t>test: bump version, sweep sends email once per tenant, not on subsequent sweeps</t>
        </is>
      </c>
      <c r="H82" t="inlineStr">
        <is>
          <t>Not Started</t>
        </is>
      </c>
      <c r="I82" t="inlineStr">
        <is>
          <t>P2</t>
        </is>
      </c>
      <c r="M82" t="inlineStr">
        <is>
          <t>Non-blocker; adds compliance smoothness.</t>
        </is>
      </c>
    </row>
    <row r="83">
      <c r="A83" t="inlineStr">
        <is>
          <t>FIX-FUP-37</t>
        </is>
      </c>
      <c r="B83" t="inlineStr">
        <is>
          <t>Follow-up (from FIX-005-C)</t>
        </is>
      </c>
      <c r="C83" t="inlineStr">
        <is>
          <t>(logged during RBAC-25)</t>
        </is>
      </c>
      <c r="D83" t="inlineStr">
        <is>
          <t>Extend AI consent gate to non-LLM paths (Sarvam STT/TTS + Gemini vision)</t>
        </is>
      </c>
      <c r="E83" t="inlineStr">
        <is>
          <t>guarded_llm is the choke point for LLM calls but Sarvam STT/TTS (server.py transcribe_audio_full, signup /tts /stt) and Gemini vision calls (services/tasks OCR paths) don't route through it. Extend the consent check to those code paths so all AI processing is uniformly gated.</t>
        </is>
      </c>
      <c r="F83" t="inlineStr">
        <is>
          <t>server.py transcribe_audio_full + routers/signup.py tts/stt + Gemini vision call sites</t>
        </is>
      </c>
      <c r="G83" t="inlineStr">
        <is>
          <t>test: STT call without consent returns 451; consented STT returns 200</t>
        </is>
      </c>
      <c r="H83" t="inlineStr">
        <is>
          <t>Not Started</t>
        </is>
      </c>
      <c r="I83" t="inlineStr">
        <is>
          <t>P1</t>
        </is>
      </c>
      <c r="M83" t="inlineStr">
        <is>
          <t>Compliance completeness — DPDP considers STT + vision as AI processing too.</t>
        </is>
      </c>
    </row>
    <row r="84">
      <c r="A84" t="inlineStr">
        <is>
          <t>FIX-005-D</t>
        </is>
      </c>
      <c r="B84" t="inlineStr">
        <is>
          <t>Sprint 3 / Security + Auth</t>
        </is>
      </c>
      <c r="C84" t="inlineStr">
        <is>
          <t>RBAC-23 + RBAC-24</t>
        </is>
      </c>
      <c r="D84" t="inlineStr">
        <is>
          <t>TOTP 2FA + tenant ownership transfer</t>
        </is>
      </c>
      <c r="E84" t="inlineStr">
        <is>
          <t>RBAC-23: pyotp-based TOTP flow. services/auth/totp.py: begin_enrollment (secret + provisioning URI for QR), confirm_enrollment (verify pending + generate 10 bcrypt-hashed backup codes returned once), verify_totp (valid_window=1 = 30s drift), consume_backup_code (single-use), disable_totp, regenerate_backup_codes (requires current TOTP not backup). 5 endpoints on /auth/2fa: enroll, confirm, verify-login, disable, regenerate-backup-codes. All emit audit_log events (two_factor_enabled/success/failure/disabled/backup_regenerated/challenge_issued). Login flow: when user.two_factor.enabled_secret set, /login returns {two_factor_required:True, challenge_token} instead of session JWT. 5-min challenge JWT encodes {sub, tenant_id, role, type=2fa_challenge}. Client calls /2fa/verify-login with challenge+code. RBAC-24: POST /auth/tenant/transfer-ownership. Owner-only inline check. Refuses self-transfer + validates target is live member. If caller has 2FA enabled, MUST supply totp_code (prevents session-theft workspace seizure); non-2FA callers still allowed but audit marks two_fa_used=false. Atomic promote+demote in memberships (target-&gt;owner, caller-&gt;sales safe default). Legacy user.role fields synced too. Audits tenant_ownership_transferred with before/after {owner_id}.</t>
        </is>
      </c>
      <c r="F84" t="inlineStr">
        <is>
          <t>services/auth/totp.py (new: pyotp-based TOTP + bcrypt-hashed backup codes); services/auth/__init__.py (exports); routers/auth.py (5 2FA endpoints + transfer-ownership + login 2FA gate + _mint_challenge/_decode_challenge helpers + 4 input models); requirements.txt (pyotp==2.10.0)</t>
        </is>
      </c>
      <c r="G84" t="inlineStr">
        <is>
          <t>tests/test_totp_and_ownership.py — 26 tests (3 enrollment flow, 4 backup codes incl. regen invalidates, 1 disable wipes, 3 is_enabled state, 2 login challenge shape, 2 challenge token roundtrip + type-guard, 5 endpoint guards, 6 ownership transfer incl. self-refuse + live-member validation + 2FA gate + atomic swap + audit)</t>
        </is>
      </c>
      <c r="H84" s="106" t="inlineStr">
        <is>
          <t>Done</t>
        </is>
      </c>
      <c r="I84" t="inlineStr">
        <is>
          <t>P1</t>
        </is>
      </c>
      <c r="J84" t="inlineStr">
        <is>
          <t>2026-08-10</t>
        </is>
      </c>
      <c r="K84" t="inlineStr">
        <is>
          <t>2026-08-10</t>
        </is>
      </c>
      <c r="L84" t="inlineStr">
        <is>
          <t>a8da19b</t>
        </is>
      </c>
      <c r="M84" t="inlineStr">
        <is>
          <t>SPRINT 3 COMPLETE (minus S3-01 Razorpay billing, deferred). 5/5 backlog items shipped this sprint: S3-02, S3-03, S3-04 + RBAC-23, RBAC-24, RBAC-25. 3 follow-ups logged: SMS 2FA fallback (FIX-FUP-38), tenant-level enforce-2FA policy (FIX-FUP-39), Razorpay subscription rebind on transfer (FIX-FUP-40).</t>
        </is>
      </c>
    </row>
    <row r="85">
      <c r="A85" t="inlineStr">
        <is>
          <t>FIX-FUP-38</t>
        </is>
      </c>
      <c r="B85" t="inlineStr">
        <is>
          <t>Follow-up (from FIX-005-D)</t>
        </is>
      </c>
      <c r="C85" t="inlineStr">
        <is>
          <t>(logged during Sprint 3)</t>
        </is>
      </c>
      <c r="D85" t="inlineStr">
        <is>
          <t>SMS 2FA fallback + WhatsApp OTP fallback</t>
        </is>
      </c>
      <c r="E85" t="inlineStr">
        <is>
          <t>Many Indian SME employees don't use authenticator apps. Add SMS-OTP as an alternative second factor (integrate Twilio + Razorpay MSG91 or Sarvam) and/or a WhatsApp OTP path (we already have WA infra from FIX-002-A). Same user.two_factor storage, new services/auth/sms_2fa.py.</t>
        </is>
      </c>
      <c r="F85" t="inlineStr">
        <is>
          <t>services/auth/* + relevant routers</t>
        </is>
      </c>
      <c r="G85" t="inlineStr">
        <is>
          <t>test: integration with the new provider / policy</t>
        </is>
      </c>
      <c r="H85" t="inlineStr">
        <is>
          <t>Not Started</t>
        </is>
      </c>
      <c r="I85" t="inlineStr">
        <is>
          <t>P1</t>
        </is>
      </c>
      <c r="M85" t="inlineStr">
        <is>
          <t>Post-Sprint 3 improvement.</t>
        </is>
      </c>
    </row>
    <row r="86">
      <c r="A86" t="inlineStr">
        <is>
          <t>FIX-FUP-39</t>
        </is>
      </c>
      <c r="B86" t="inlineStr">
        <is>
          <t>Follow-up (from FIX-005-D)</t>
        </is>
      </c>
      <c r="C86" t="inlineStr">
        <is>
          <t>(logged during Sprint 3)</t>
        </is>
      </c>
      <c r="D86" t="inlineStr">
        <is>
          <t>Tenant-level enforce-2FA policy</t>
        </is>
      </c>
      <c r="E86" t="inlineStr">
        <is>
          <t>Add tenant.security_policy.require_2fa_for_owners (bool) + require_2fa_for_admins. When set, login for a matching role refuses to complete without 2FA enrolled first — user is prompted to enroll before session issued. Enterprise-grade compliance ask.</t>
        </is>
      </c>
      <c r="F86" t="inlineStr">
        <is>
          <t>services/auth/* + relevant routers</t>
        </is>
      </c>
      <c r="G86" t="inlineStr">
        <is>
          <t>test: integration with the new provider / policy</t>
        </is>
      </c>
      <c r="H86" t="inlineStr">
        <is>
          <t>Not Started</t>
        </is>
      </c>
      <c r="I86" t="inlineStr">
        <is>
          <t>P2</t>
        </is>
      </c>
      <c r="M86" t="inlineStr">
        <is>
          <t>Post-Sprint 3 improvement.</t>
        </is>
      </c>
    </row>
    <row r="87">
      <c r="A87" t="inlineStr">
        <is>
          <t>FIX-FUP-40</t>
        </is>
      </c>
      <c r="B87" t="inlineStr">
        <is>
          <t>Follow-up (from FIX-005-D)</t>
        </is>
      </c>
      <c r="C87" t="inlineStr">
        <is>
          <t>(logged during Sprint 3)</t>
        </is>
      </c>
      <c r="D87" t="inlineStr">
        <is>
          <t>Razorpay subscription rebind on ownership transfer</t>
        </is>
      </c>
      <c r="E87" t="inlineStr">
        <is>
          <t>Ownership transfer currently changes DB state only. When S3-01 lands (Razorpay integration), the transfer must also re-point the subscription billing contact to the new owner. Coupled with S3-01.</t>
        </is>
      </c>
      <c r="F87" t="inlineStr">
        <is>
          <t>services/auth/* + relevant routers</t>
        </is>
      </c>
      <c r="G87" t="inlineStr">
        <is>
          <t>test: integration with the new provider / policy</t>
        </is>
      </c>
      <c r="H87" t="inlineStr">
        <is>
          <t>Not Started</t>
        </is>
      </c>
      <c r="I87" t="inlineStr">
        <is>
          <t>P1</t>
        </is>
      </c>
      <c r="M87" t="inlineStr">
        <is>
          <t>Post-Sprint 3 improvement.</t>
        </is>
      </c>
    </row>
    <row r="88">
      <c r="A88" t="inlineStr">
        <is>
          <t>FIX-006-A</t>
        </is>
      </c>
      <c r="B88" t="inlineStr">
        <is>
          <t>Sprint 0 / Security P0</t>
        </is>
      </c>
      <c r="C88" t="inlineStr">
        <is>
          <t>S0-01 + S0-08 + S0-09 + S0-10</t>
        </is>
      </c>
      <c r="D88" t="inlineStr">
        <is>
          <t>Auth credential hardening (4 launch-blockers)</t>
        </is>
      </c>
      <c r="E88" t="inlineStr">
        <is>
          <t>S0-01: seed_platform_admin no longer ships hardcoded default creds. Prod (ENV=prod) refuses to boot when SUPERADMIN_EMAIL/PASSWORD missing. Existing admin hash is NEVER overwritten on restart -- refresh path requires an explicit SUPERADMIN_ALLOW_HASH_REFRESH=1 one-off flag. S0-08: login / register / switch-workspace / 2fa-verify-login / admin-login / OTP-verify (6 sites) no longer include the raw JWT in the JSON body when AUTH_RETURN_TOKEN is off. HttpOnly cookie is the source of truth. Env defaults: off in prod, on elsewhere. New login_response() helper centralises the shape. S0-09: Platform-admin tokens now signed + verified with PLATFORM_ADMIN_JWT_SECRET (falls back to JWT_SECRET when unset for dev back-compat). A compromise of the tenant JWT_SECRET can no longer forge platform-admin sessions. type='platform_admin' claim remains as second gate either way. S0-10: verify_otp invalidates invite_token + expiry on successful accept, so the invite link stops resolving on /auth/invite/{token} (no more leaked name / masked phone) and a second /auth/invite/{token}/start can't bomb the invitee's phone with fresh SMS OTPs. Records invite_consumed_at for the paper trail.</t>
        </is>
      </c>
      <c r="F88" t="inlineStr">
        <is>
          <t>config.py (PLATFORM_ADMIN_JWT_SECRET, AUTH_RETURN_TOKEN, SUPERADMIN_ALLOW_HASH_REFRESH env plumbing + env-driven defaults); core.py (create_admin_token + get_platform_admin use admin secret; new login_response() helper); server.py (seed_platform_admin prod refuse + no-silent-refresh + verify_otp invite invalidation + login_response wiring; login_response import); routers/auth.py (register + login + switch-workspace + 2fa-verify-login all route through login_response); routers/admin.py (admin_login routes through login_response)</t>
        </is>
      </c>
      <c r="G88" t="inlineStr">
        <is>
          <t>tests/test_auth_hardening.py -- 23 tests: 4 login_response helper (flag on/off/kwargs/no-shared-state); 5 AUTH_RETURN_TOKEN env semantics (prod default off, dev default on, explicit overrides, truthy/falsy accepted); 4 platform-admin secret split (fallback, distinct, admin verifies with admin secret, tenant secret cannot forge admin); 6 seed_platform_admin (prod refuses, dev fallback, env creds, hash NOT overwritten by default, opt-in refreshes, opt-in noop when password matches); 2 invite invalidation source-inspection guards; 2 no-raw-token endpoint guards (grep-style regression backstop)</t>
        </is>
      </c>
      <c r="H88" s="106" t="inlineStr">
        <is>
          <t>Done</t>
        </is>
      </c>
      <c r="I88" t="inlineStr">
        <is>
          <t>P0</t>
        </is>
      </c>
      <c r="J88" t="inlineStr">
        <is>
          <t>2026-08-11</t>
        </is>
      </c>
      <c r="K88" t="inlineStr">
        <is>
          <t>2026-08-11</t>
        </is>
      </c>
      <c r="L88" t="inlineStr">
        <is>
          <t>c57b550</t>
        </is>
      </c>
      <c r="M88" t="inlineStr">
        <is>
          <t>Sprint 0 batch A. 4 launch-blockers shipped together. 337 pre-existing auth/RBAC/session/plans/consent/totp tests still green (zero regressions). Deployment note for ops: set PLATFORM_ADMIN_JWT_SECRET + SUPERADMIN_EMAIL + SUPERADMIN_PASSWORD as distinct high-entropy env values before flipping ENV=prod. AUTH_RETURN_TOKEN defaults off in prod; explicitly set =1 only if a native-mobile client needs the bearer path.</t>
        </is>
      </c>
    </row>
    <row r="89">
      <c r="A89" t="inlineStr">
        <is>
          <t>FIX-006-B</t>
        </is>
      </c>
      <c r="B89" t="inlineStr">
        <is>
          <t>Sprint 0 / Security P0</t>
        </is>
      </c>
      <c r="C89" t="inlineStr">
        <is>
          <t>S0-02</t>
        </is>
      </c>
      <c r="D89" t="inlineStr">
        <is>
          <t>Strict CORS allow-list + CSRF double-submit cookie</t>
        </is>
      </c>
      <c r="E89" t="inlineStr">
        <is>
          <t>CORS lockdown: removed allow_origin_regex='.*'+allow_credentials=True combo that echoed back any origin and let evil.com make credentialed cross-origin calls carrying the user's auth cookie. CORS_ORIGINS env is now required in prod (unset or containing '*' makes config.py raise at boot). Dev defaults to local frontend origins. CSRF (double-submit cookie): set_auth_cookie + set_admin_cookie now also set a non-HttpOnly dos_csrf cookie carrying a fresh secrets.token_urlsafe(32) token. Frontend JS reads it and echoes as X-CSRF-Token on every mutating request. New services/csrf.py middleware compares header (constant-time) to cookie on each cookie-authed mutating request. Safe verbs, exempt paths (webhooks + login), and bearer-authed requests bypass. Rollout via CSRF_ENFORCE env -- defaults OFF so this batch ships without a breaking frontend change; middleware logs match/mismatch metrics so ops watches adoption before flipping enforcement on.</t>
        </is>
      </c>
      <c r="F89" t="inlineStr">
        <is>
          <t>config.py (CORS_ORIGINS strict allow-list parser + prod boot refusal; CSRF_COOKIE_NAME/HEADER_NAME/EXEMPT_PATHS/ENFORCE env plumbing); core.py (set_csrf_cookie/clear_csrf_cookie helpers; set_auth_cookie + set_admin_cookie now mint CSRF cookie; clear paths also clear CSRF); server.py (replaced regex-CORS block with strict allow-list + CSRFMiddleware registration + startup log); services/csrf.py (new: CSRFMiddleware + _check + metrics counters)</t>
        </is>
      </c>
      <c r="G89" t="inlineStr">
        <is>
          <t>tests/test_cors_csrf.py -- 31 tests: 7 CORS parsing (prod refuses empty/wildcard/wildcard-mixed, accepts explicit list, strips whitespace/empty, dev fallback, dev override); 6 CSRF cookie minting (auth/admin sets, fresh token per call, clear also clears CSRF, explicit token); 8 check contract (safe verbs, exempt paths, bearer bypass, missing cookie/header, value mismatch, admin cookie equivalence); 3 metrics (counter shape, reset, snapshot returns copy); 4 enforce toggle parsing; 5 middleware dispatch (shadow passes, enforce 403s, matching passes, bearer bypasses, exempt-path bypasses). test_auth_hardening.py refactored to use monkeypatch.setattr on module attrs instead of importlib.reload(config) -- kills the cross-test config pollution that surfaced when TestClient closes shared asyncio loop.</t>
        </is>
      </c>
      <c r="H89" s="106" t="inlineStr">
        <is>
          <t>Done</t>
        </is>
      </c>
      <c r="I89" t="inlineStr">
        <is>
          <t>P0</t>
        </is>
      </c>
      <c r="J89" t="inlineStr">
        <is>
          <t>2026-08-12</t>
        </is>
      </c>
      <c r="K89" t="inlineStr">
        <is>
          <t>2026-08-12</t>
        </is>
      </c>
      <c r="L89" t="inlineStr">
        <is>
          <t>ababc06</t>
        </is>
      </c>
      <c r="M89" t="inlineStr">
        <is>
          <t>Sprint 0 batch B. 405/405 pass across adjacent auth/RBAC/session/plans/consent/totp/tenancy/dockerfile surfaces. test_workflows_dynamic excluded from regression -- pre-existing asyncio.run() vs get_event_loop() interaction is unrelated to this batch (FIX-FUP-41 logged). Deployment: set CORS_ORIGINS to comma-separated exact origins before ENV=prod. Frontend follow-up (FIX-FUP-42): read dos_csrf cookie in JS, send X-CSRF-Token header on mutating requests, then flip CSRF_ENFORCE=1 in prod once staging shows ~100% match rate.</t>
        </is>
      </c>
    </row>
    <row r="90">
      <c r="A90" t="inlineStr">
        <is>
          <t>FIX-FUP-41</t>
        </is>
      </c>
      <c r="B90" t="inlineStr">
        <is>
          <t>Follow-up (from FIX-006-B)</t>
        </is>
      </c>
      <c r="C90" t="inlineStr">
        <is>
          <t>(logged during Sprint 0)</t>
        </is>
      </c>
      <c r="D90" t="inlineStr">
        <is>
          <t>Kill test-suite asyncio-loop flakiness</t>
        </is>
      </c>
      <c r="E90" t="inlineStr">
        <is>
          <t>test_workflows_dynamic.py uses asyncio.run() which closes the shared event loop, breaking test_deprovisioning/quotas/email_verification that use asyncio.get_event_loop(). Under xdist loadscope both can land on the same worker in an order that trips this. Fix: standardize on asyncio.new_event_loop() everywhere (or asyncio.run everywhere).</t>
        </is>
      </c>
      <c r="F90" t="inlineStr">
        <is>
          <t>tests/* (FUP-41) or frontend/src/api (FUP-42)</t>
        </is>
      </c>
      <c r="G90" t="inlineStr">
        <is>
          <t>test: cross-worker asyncio stability / frontend integration</t>
        </is>
      </c>
      <c r="H90" t="inlineStr">
        <is>
          <t>Not Started</t>
        </is>
      </c>
      <c r="I90" t="inlineStr">
        <is>
          <t>P2</t>
        </is>
      </c>
      <c r="M90" t="inlineStr">
        <is>
          <t>Post-FIX-006-B improvement.</t>
        </is>
      </c>
    </row>
    <row r="91">
      <c r="A91" t="inlineStr">
        <is>
          <t>FIX-FUP-42</t>
        </is>
      </c>
      <c r="B91" t="inlineStr">
        <is>
          <t>Follow-up (from FIX-006-B)</t>
        </is>
      </c>
      <c r="C91" t="inlineStr">
        <is>
          <t>(logged during Sprint 0)</t>
        </is>
      </c>
      <c r="D91" t="inlineStr">
        <is>
          <t>Frontend: read dos_csrf, send X-CSRF-Token, flip CSRF_ENFORCE</t>
        </is>
      </c>
      <c r="E91" t="inlineStr">
        <is>
          <t>Read the dos_csrf cookie via document.cookie (non-HttpOnly). Wrap fetch/axios to send X-CSRF-Token header on every POST/PUT/PATCH/DELETE. Watch staging csrf_check_failed logs. Once ~100% match rate, set CSRF_ENFORCE=1 in prod. Middleware will start returning 403 on mismatch.</t>
        </is>
      </c>
      <c r="F91" t="inlineStr">
        <is>
          <t>tests/* (FUP-41) or frontend/src/api (FUP-42)</t>
        </is>
      </c>
      <c r="G91" t="inlineStr">
        <is>
          <t>test: cross-worker asyncio stability / frontend integration</t>
        </is>
      </c>
      <c r="H91" t="inlineStr">
        <is>
          <t>Not Started</t>
        </is>
      </c>
      <c r="I91" t="inlineStr">
        <is>
          <t>P0</t>
        </is>
      </c>
      <c r="M91" t="inlineStr">
        <is>
          <t>Post-FIX-006-B improvement.</t>
        </is>
      </c>
    </row>
    <row r="92">
      <c r="A92" t="inlineStr">
        <is>
          <t>FIX-006-C</t>
        </is>
      </c>
      <c r="B92" t="inlineStr">
        <is>
          <t>Sprint 0 / Security P0</t>
        </is>
      </c>
      <c r="C92" t="inlineStr">
        <is>
          <t>S0-03 + S0-04 + S0-05</t>
        </is>
      </c>
      <c r="D92" t="inlineStr">
        <is>
          <t>Endpoint P0s (files / OTP / WhatsApp)</t>
        </is>
      </c>
      <c r="E92" t="inlineStr">
        <is>
          <t>S0-03: GET /api/files/{fname} legacy local-disk fallback is now off-by-default. The old branch served any file on disk to any authenticated caller -- no tenant-ownership check on the legacy path. Gated behind SERVE_LEGACY_LOCAL_DISK env (default False); denied hits logged for observability. S0-04: /auth/otp/request no longer surfaces dev_otp in the JSON body unless DEV_OTP_IN_RESPONSE=1 is explicitly set. server.py now refuses to boot in prod when neither APM_SMS_API_KEY nor TWILIO_* is configured -- silent dev-mode fall-through would hand working login codes to any /auth/otp/request caller. S0-05: WhatsApp webhook rejects (403) on X-Hub-Signature-256 mismatch instead of logging + processing. Also refuses missing WA_APP_SECRET in prod (dev/staging accept with WARN so local tunnels work). hmac.compare_digest preserved for constant-time compare.</t>
        </is>
      </c>
      <c r="F92" t="inlineStr">
        <is>
          <t>config.py (SERVE_LEGACY_LOCAL_DISK + DEV_OTP_IN_RESPONSE env parsing); server.py (get_file legacy-branch gate + logging; _issue_otp dev_otp gate; TWILIO/APM boot-check raise; whatsapp_webhook 403 on mismatch + prod refuses missing WA_APP_SECRET)</t>
        </is>
      </c>
      <c r="G92" t="inlineStr">
        <is>
          <t>tests/test_endpoint_hardening.py -- 14 tests: 4 legacy-disk fallback (source has gate, default off, opt-in works, tenant scope preserved on non-legacy branches); 5 dev-OTP (source gates on flag, default off, opt-in works, prod-boot check exists, end-to-end prod-without-SMS refuses to boot); 5 WhatsApp signature (rejects on mismatch not processes, constant-time compare stays, missing secret rejected in prod, not-configured branch unchanged, HMAC recomputes correctly)</t>
        </is>
      </c>
      <c r="H92" s="106" t="inlineStr">
        <is>
          <t>Done</t>
        </is>
      </c>
      <c r="I92" t="inlineStr">
        <is>
          <t>P0</t>
        </is>
      </c>
      <c r="J92" t="inlineStr">
        <is>
          <t>2026-08-12</t>
        </is>
      </c>
      <c r="K92" t="inlineStr">
        <is>
          <t>2026-08-12</t>
        </is>
      </c>
      <c r="L92" t="inlineStr">
        <is>
          <t>685141d</t>
        </is>
      </c>
      <c r="M92" t="inlineStr">
        <is>
          <t>Sprint 0 batch C. 419/419 pass across adjacent auth/RBAC/session/plans/consent/totp/tenancy surfaces. test_workflows_dynamic still excluded per FIX-FUP-41. Deployment: set APM_SMS_API_KEY (India) or TWILIO_* (global) before ENV=prod. Set WA_APP_SECRET whenever WhatsApp ingestion is enabled in prod. Leave SERVE_LEGACY_LOCAL_DISK unset in prod.</t>
        </is>
      </c>
    </row>
    <row r="93">
      <c r="A93" t="inlineStr">
        <is>
          <t>FIX-006-D</t>
        </is>
      </c>
      <c r="B93" t="inlineStr">
        <is>
          <t>Sprint 0 / Security P0</t>
        </is>
      </c>
      <c r="C93" t="inlineStr">
        <is>
          <t>S0-06 + S0-07</t>
        </is>
      </c>
      <c r="D93" t="inlineStr">
        <is>
          <t>Unauth-AI rate-limit/captcha + tenant login lockout</t>
        </is>
      </c>
      <c r="E93" t="inlineStr">
        <is>
          <t>S0-06: new shared services.rate_limit.guard_unauth_ai_endpoint() extracts the 3-check pattern (hourly quota + burst quota + CAPTCHA) that signup.py already used, and applies it to the two /api/onboarding/* endpoints that were still unguarded. Both call claude_chat unauthenticated, so drive-by traffic burns real LLM credit. onboarding/os-blueprint is the biggest per-call spend on the pre-auth surface. Per-(service, kind) buckets so signup-drained quotas don't affect onboarding and vice-versa. S0-07: tenant /api/auth/login now has a 5-attempt / 15-min lockout -- parity with admin login. db.user_login_attempts keyed by (IP, email), X-Forwarded-For preferred for real client IP. Lock check runs BEFORE db.users.find_one so timing doesn't leak whether an email exists. Cool-down clears on natural expiry AND on successful login so a slow attacker can't share the cooldown with the legitimate user. Emits login_locked_out audit event.</t>
        </is>
      </c>
      <c r="F93" t="inlineStr">
        <is>
          <t>services/rate_limit.py (new public guard_unauth_ai_endpoint() with per-service, per-kind buckets + configurable quotas + require_captcha opt-out); routers/onboarding.py (import shared helper; apply guard to onboarding_suggest + onboarding_os_blueprint; both handlers gain request: Request param); routers/auth.py (LOGIN_MAX_ATTEMPTS=5, LOGIN_LOCKOUT_MIN=15 constants; _login_ident/_login_locked_out/_login_record_failure/_login_clear_attempts helpers; login endpoint wires lock check + record-on-fail + clear-on-success + audit login_locked_out event)</t>
        </is>
      </c>
      <c r="G93" t="inlineStr">
        <is>
          <t>tests/test_ratelimit_and_lockout.py -- 23 tests: 7 unauth-AI guard (first hit ok, hourly 429, burst 429, captcha required, service isolation, kind isolation, captcha opt-out); 3 endpoint wire-up guards (both onboarding endpoints call shared helper, module imports it); 7 lockout unit tests (ident shape, XFF preference, below/at threshold, window expiry clears, increment upserts, clear wipes, bad iso doesn't perma-lock); 4 login source-inspection guards (lock check before DB find, records on failure, clears on success, 429 not 401, parity numbers with admin login)</t>
        </is>
      </c>
      <c r="H93" s="106" t="inlineStr">
        <is>
          <t>Done</t>
        </is>
      </c>
      <c r="I93" t="inlineStr">
        <is>
          <t>P0/P1</t>
        </is>
      </c>
      <c r="J93" t="inlineStr">
        <is>
          <t>2026-08-12</t>
        </is>
      </c>
      <c r="K93" t="inlineStr">
        <is>
          <t>2026-08-12</t>
        </is>
      </c>
      <c r="L93" t="inlineStr">
        <is>
          <t>93a9f1c</t>
        </is>
      </c>
      <c r="M93" t="inlineStr">
        <is>
          <t>Sprint 0 batch D. CLOSES SPRINT 0. 442/442 pass across all adjacent auth/RBAC/session/plans/consent/totp/tenancy/dockerfile test surfaces. test_workflows_dynamic still excluded per FIX-FUP-41. Deployment: consider adding a Mongo TTL index on user_login_attempts.last (mirrors platform_login_attempts) so expired rows auto-clean -- logged as FIX-FUP-43. In prod, set CAPTCHA_REQUIRED=1 + TURNSTILE_SECRET to hard-enforce captcha on all pre-auth AI endpoints (currently permissive in dev/staging where no secret is set).</t>
        </is>
      </c>
    </row>
    <row r="94">
      <c r="A94" t="inlineStr">
        <is>
          <t>FIX-FUP-43</t>
        </is>
      </c>
      <c r="B94" t="inlineStr">
        <is>
          <t>Follow-up (from FIX-006-D)</t>
        </is>
      </c>
      <c r="C94" t="inlineStr">
        <is>
          <t>(logged during Sprint 0)</t>
        </is>
      </c>
      <c r="D94" t="inlineStr">
        <is>
          <t>TTL index on user_login_attempts.last</t>
        </is>
      </c>
      <c r="E94" t="inlineStr">
        <is>
          <t>Mirror the scheduler_locks / platform_login_attempts TTL pattern: create index on db.user_login_attempts.last with expireAfterSeconds = LOGIN_LOCKOUT_MIN * 60 * 2 (double the window so a fresh row can still exist for its full useful life). Kills row buildup for attackers who spray many (IP, email) pairs.</t>
        </is>
      </c>
      <c r="F94" t="inlineStr">
        <is>
          <t>server.py bootstrap indexes block; services/auth or routers/auth (where LOGIN_LOCKOUT_MIN is defined)</t>
        </is>
      </c>
      <c r="G94" t="inlineStr">
        <is>
          <t>test: index exists on collection after bootstrap; row inserted at T=0 gone after T=LOGIN_LOCKOUT_MIN*2</t>
        </is>
      </c>
      <c r="H94" t="inlineStr">
        <is>
          <t>Not Started</t>
        </is>
      </c>
      <c r="I94" t="inlineStr">
        <is>
          <t>P2</t>
        </is>
      </c>
      <c r="J94" t="inlineStr"/>
      <c r="K94" t="inlineStr"/>
      <c r="L94" t="inlineStr"/>
      <c r="M94" t="inlineStr">
        <is>
          <t>Post-Sprint-0 hygiene.</t>
        </is>
      </c>
    </row>
  </sheetData>
  <mergeCells count="10">
    <mergeCell ref="B45:E45"/>
    <mergeCell ref="B40:E40"/>
    <mergeCell ref="B41:E41"/>
    <mergeCell ref="A1:M1"/>
    <mergeCell ref="B43:E43"/>
    <mergeCell ref="B38:E38"/>
    <mergeCell ref="B44:E44"/>
    <mergeCell ref="B39:E39"/>
    <mergeCell ref="B42:E42"/>
    <mergeCell ref="A2:M2"/>
  </mergeCells>
  <conditionalFormatting sqref="H11:H500">
    <cfRule type="cellIs" priority="1" operator="equal" dxfId="2">
      <formula>"Not Started"</formula>
    </cfRule>
    <cfRule type="cellIs" priority="2" operator="equal" dxfId="3">
      <formula>"Planning"</formula>
    </cfRule>
    <cfRule type="cellIs" priority="3" operator="equal" dxfId="4">
      <formula>"In Progress"</formula>
    </cfRule>
    <cfRule type="cellIs" priority="4" operator="equal" dxfId="6">
      <formula>"Code Review"</formula>
    </cfRule>
    <cfRule type="cellIs" priority="5" operator="equal" dxfId="8">
      <formula>"Testing"</formula>
    </cfRule>
    <cfRule type="cellIs" priority="6" operator="equal" dxfId="7">
      <formula>"Done"</formula>
    </cfRule>
    <cfRule type="cellIs" priority="7" operator="equal" dxfId="5">
      <formula>"Blocked"</formula>
    </cfRule>
    <cfRule type="cellIs" priority="8" operator="equal" dxfId="5">
      <formula>"Rolled Back"</formula>
    </cfRule>
  </conditionalFormatting>
  <dataValidations count="2">
    <dataValidation sqref="H11:H500" showDropDown="0" showInputMessage="0" showErrorMessage="0" allowBlank="0" type="list">
      <formula1>"Not Started,Planning,In Progress,Code Review,Testing,Done,Blocked,Rolled Back"</formula1>
    </dataValidation>
    <dataValidation sqref="I11:I500" showDropDown="0" showInputMessage="0" showErrorMessage="0" allowBlank="0" type="list">
      <formula1>"P0,P1,P2"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s="46" t="inlineStr">
        <is>
          <t>Roadmap Kanban Board — swimlanes = Sprints, cards color-coded by Priority</t>
        </is>
      </c>
    </row>
    <row r="2">
      <c r="A2" s="47" t="inlineStr">
        <is>
          <t>Snapshot view for planning. To track day-to-day status changes, edit the Task Backlog tab.</t>
        </is>
      </c>
    </row>
    <row r="4" ht="42" customHeight="1">
      <c r="A4" s="48" t="inlineStr">
        <is>
          <t>Sprint 0
Critical Security &amp; Auth  (GATE)</t>
        </is>
      </c>
      <c r="B4" s="49" t="inlineStr">
        <is>
          <t>Sprint 1
Scale &amp; Operational Blockers  (GATE)</t>
        </is>
      </c>
      <c r="C4" s="50" t="inlineStr">
        <is>
          <t>Sprint 2
Tenancy Hygiene &amp; Data Integrity  (parallel)</t>
        </is>
      </c>
      <c r="D4" s="51" t="inlineStr">
        <is>
          <t>Sprint 3
Billing &amp; Multi-Tenant AI Keys  (GATE)</t>
        </is>
      </c>
      <c r="E4" s="52" t="inlineStr">
        <is>
          <t>Sprint 4
AI Brain / Agentic Enhancement  (parallel)</t>
        </is>
      </c>
      <c r="F4" s="53" t="inlineStr">
        <is>
          <t>Sprint 5
DevOps, Deployment &amp; Data Migration  (GATE)</t>
        </is>
      </c>
    </row>
    <row r="5" ht="46" customHeight="1">
      <c r="A5" s="54" t="inlineStr">
        <is>
          <t>[S0-01] Remove hardcoded superadmin default credentials
(Security/Auth)</t>
        </is>
      </c>
      <c r="B5" s="108" t="inlineStr">
        <is>
          <t>[DONE][S1-01] Externalize the follow-up scheduler
(Scale/Ops)</t>
        </is>
      </c>
      <c r="C5" s="108" t="inlineStr">
        <is>
          <t>[DONE][S2-01] Add _ensure_owned() helper
(Tenancy/Data)</t>
        </is>
      </c>
      <c r="D5" s="54" t="inlineStr">
        <is>
          <t>[S3-01] Integrate real billing (Stripe or Razorpay)
(Billing/AI-Keys)</t>
        </is>
      </c>
      <c r="E5" s="56" t="inlineStr">
        <is>
          <t>[S4-01] Fix text-index stemming + index db.memory
(AI/Brain)</t>
        </is>
      </c>
      <c r="F5" s="54" t="inlineStr">
        <is>
          <t>[S5-01] Stand up a staging environment
(DevOps/Migration)</t>
        </is>
      </c>
    </row>
    <row r="6" ht="46" customHeight="1">
      <c r="A6" s="54" t="inlineStr">
        <is>
          <t>[S0-02] Fix CORS wildcard + credentials
(Security/Auth)</t>
        </is>
      </c>
      <c r="B6" s="108" t="inlineStr">
        <is>
          <t>[DONE][S1-02] Index phone, drop Python-side filter
(Scale/Ops)</t>
        </is>
      </c>
      <c r="C6" s="108" t="inlineStr">
        <is>
          <t>[DONE][S2-02] Complete TENANT_COLLECTIONS wipe
(Tenancy/Data)</t>
        </is>
      </c>
      <c r="D6" s="108" t="inlineStr">
        <is>
          <t>[DONE][S3-02] Add plan / entitlement fields to tenant doc
(Billing/AI-Keys)</t>
        </is>
      </c>
      <c r="E6" s="55" t="inlineStr">
        <is>
          <t>[S4-02] Fix task-done Brain write-coverage gap + link provenance
(AI/Brain)</t>
        </is>
      </c>
      <c r="F6" s="54" t="inlineStr">
        <is>
          <t>[S5-02] Run a load test at target scale
(DevOps/Migration)</t>
        </is>
      </c>
    </row>
    <row r="7" ht="46" customHeight="1">
      <c r="A7" s="54" t="inlineStr">
        <is>
          <t>[S0-03] Auth-gate file downloads
(Security/Auth)</t>
        </is>
      </c>
      <c r="B7" s="108" t="inlineStr">
        <is>
          <t>[DONE][S1-03] Move all uploads to obj_store
(Scale/Ops)</t>
        </is>
      </c>
      <c r="C7" s="108" t="inlineStr">
        <is>
          <t>[DONE][S2-03] Tenant-scope OTP + WhatsApp phone routing
(Tenancy/Data)</t>
        </is>
      </c>
      <c r="D7" s="108" t="inlineStr">
        <is>
          <t>[DONE][S3-03] Per-tenant AI key resolver
(Billing/AI-Keys)</t>
        </is>
      </c>
      <c r="E7" s="56" t="inlineStr">
        <is>
          <t>[S4-03] Rename brain_contexts -&gt; brain_query_cache
(AI/Brain)</t>
        </is>
      </c>
      <c r="F7" s="54" t="inlineStr">
        <is>
          <t>[S5-03] Add observability (Sentry + structured logs + APM)
(DevOps/Migration)</t>
        </is>
      </c>
    </row>
    <row r="8" ht="46" customHeight="1">
      <c r="A8" s="54" t="inlineStr">
        <is>
          <t>[S0-04] Kill dev-mode OTP leak
(Security/Auth)</t>
        </is>
      </c>
      <c r="B8" s="108" t="inlineStr">
        <is>
          <t>[DONE][S1-04] Commit real deployment config
(Scale/Ops)</t>
        </is>
      </c>
      <c r="C8" s="108" t="inlineStr">
        <is>
          <t>[DONE][S2-04] Fix cross-tenant WhatsApp log leak
(Tenancy/Data)</t>
        </is>
      </c>
      <c r="D8" s="108" t="inlineStr">
        <is>
          <t>[DONE][S3-04] Enforce usage quotas (402 on exceed)
(Billing/AI-Keys)</t>
        </is>
      </c>
      <c r="E8" s="55" t="inlineStr">
        <is>
          <t>[S4-04] Unify /ask and /brain/agent retrieval reach
(AI/Brain)</t>
        </is>
      </c>
      <c r="F8" s="54" t="inlineStr">
        <is>
          <t>[S5-04] Write + TEST a backup/restore runbook
(DevOps/Migration)</t>
        </is>
      </c>
    </row>
    <row r="9" ht="46" customHeight="1">
      <c r="A9" s="54" t="inlineStr">
        <is>
          <t>[S0-05] Fix WhatsApp signature bypass
(Security/Auth)</t>
        </is>
      </c>
      <c r="B9" s="108" t="inlineStr">
        <is>
          <t>[DONE][S1-05] Timeout + concurrency-limit LLM calls
(Scale/Ops)</t>
        </is>
      </c>
      <c r="C9" s="108" t="inlineStr">
        <is>
          <t>[DONE][S2-05] Fix unfiltered enrich_decisions fetch
(Tenancy/Data)</t>
        </is>
      </c>
      <c r="E9" s="55" t="inlineStr">
        <is>
          <t>[S4-05] Extract + chunk + embed documents at ingest
(AI/Brain)</t>
        </is>
      </c>
      <c r="F9" s="54" t="inlineStr">
        <is>
          <t>[S5-05] Data migration plan for schema changes above
(DevOps/Migration)</t>
        </is>
      </c>
    </row>
    <row r="10" ht="46" customHeight="1">
      <c r="A10" s="54" t="inlineStr">
        <is>
          <t>[S0-06] Rate-limit + captcha unauth AI endpoints
(Security/Auth)</t>
        </is>
      </c>
      <c r="B10" s="108" t="inlineStr">
        <is>
          <t>[DONE][S1-06] Fix hardcoded purchase_payment key
(Scale/Ops)</t>
        </is>
      </c>
      <c r="C10" s="108" t="inlineStr">
        <is>
          <t>[DONE][S2-06] Add session invalidation on logout/password-change
(Tenancy/Data)</t>
        </is>
      </c>
      <c r="E10" s="55" t="inlineStr">
        <is>
          <t>[S4-06] Adopt vector search + hybrid retrieval
(AI/Brain)</t>
        </is>
      </c>
      <c r="F10" s="55" t="inlineStr">
        <is>
          <t>[S5-06] Stand up CI/CD
(DevOps/Migration)</t>
        </is>
      </c>
    </row>
    <row r="11" ht="46" customHeight="1">
      <c r="A11" s="55" t="inlineStr">
        <is>
          <t>[S0-07] Add login rate limiting
(Security/Auth)</t>
        </is>
      </c>
      <c r="C11" s="108" t="inlineStr">
        <is>
          <t>[DONE][S2-07] Add email verification + password reset
(Tenancy/Data)</t>
        </is>
      </c>
      <c r="E11" s="56" t="inlineStr">
        <is>
          <t>[S4-07] Formalize a tool registry
(AI/Brain)</t>
        </is>
      </c>
      <c r="F11" s="55" t="inlineStr">
        <is>
          <t>[S5-07] Define a rollback procedure
(DevOps/Migration)</t>
        </is>
      </c>
    </row>
    <row r="12" ht="46" customHeight="1">
      <c r="A12" s="55" t="inlineStr">
        <is>
          <t>[S0-08] Stop returning raw JWT in response body
(Security/Auth)</t>
        </is>
      </c>
      <c r="C12" s="108" t="inlineStr">
        <is>
          <t>[DONE][S2-08] Fix dead contacts.kind index
(Tenancy/Data)</t>
        </is>
      </c>
      <c r="E12" s="56" t="inlineStr">
        <is>
          <t>[S4-08] Add bounded planner-executor loop + native function-calling
(AI/Brain)</t>
        </is>
      </c>
      <c r="F12" s="54" t="inlineStr">
        <is>
          <t>[S5-08] Move secrets to a real secrets manager
(DevOps/Migration)</t>
        </is>
      </c>
    </row>
    <row r="13" ht="46" customHeight="1">
      <c r="A13" s="55" t="inlineStr">
        <is>
          <t>[S0-09] Split JWT secret: tenant vs platform admin
(Security/Auth)</t>
        </is>
      </c>
      <c r="C13" s="108" t="inlineStr">
        <is>
          <t>[DONE][S2-09] Fix denormalized-name staleness
(Tenancy/Data)</t>
        </is>
      </c>
      <c r="E13" s="56" t="inlineStr">
        <is>
          <t>[S4-09] Add per-conversation agent memory
(AI/Brain)</t>
        </is>
      </c>
      <c r="F13" s="54" t="inlineStr">
        <is>
          <t>[S5-09] Staged rollout plan (5 -&gt; 20 -&gt; 50 -&gt; 100)
(DevOps/Migration)</t>
        </is>
      </c>
    </row>
    <row r="14" ht="46" customHeight="1">
      <c r="A14" s="55" t="inlineStr">
        <is>
          <t>[S0-10] Invalidate invite tokens after use
(Security/Auth)</t>
        </is>
      </c>
      <c r="C14" s="108" t="inlineStr">
        <is>
          <t>[DONE][S2-10] Handle concurrent-registration race
(Tenancy/Data)</t>
        </is>
      </c>
      <c r="E14" s="56" t="inlineStr">
        <is>
          <t>[S4-10] Expand Brain write coverage to finance/workflow/meetings
(AI/Brain)</t>
        </is>
      </c>
      <c r="F14" s="54" t="inlineStr">
        <is>
          <t>[S5-10] Final go/no-go review
(DevOps/Migration)</t>
        </is>
      </c>
    </row>
    <row r="15" ht="46" customHeight="1">
      <c r="C15" s="108" t="inlineStr">
        <is>
          <t>[DONE][S2-11] Flag AI-operating-model generation failures
(Tenancy/Data)</t>
        </is>
      </c>
      <c r="E15" s="56" t="inlineStr">
        <is>
          <t>[S4-11] Make tag vocabulary tenant/industry-configurable
(AI/Brain)</t>
        </is>
      </c>
    </row>
    <row r="16" ht="46" customHeight="1">
      <c r="C16" s="108" t="inlineStr">
        <is>
          <t>[DONE][S2-12] Fix 'active workflows' hardcoded terminal stages
(Tenancy/Data)</t>
        </is>
      </c>
    </row>
    <row r="19">
      <c r="A19" s="57" t="inlineStr">
        <is>
          <t>Card color = Priority:</t>
        </is>
      </c>
    </row>
    <row r="20">
      <c r="A20" s="58" t="inlineStr">
        <is>
          <t>P0 — ship blocker</t>
        </is>
      </c>
    </row>
    <row r="21">
      <c r="A21" s="59" t="inlineStr">
        <is>
          <t>P1 — before real customer</t>
        </is>
      </c>
    </row>
    <row r="22">
      <c r="A22" s="60" t="inlineStr">
        <is>
          <t>P2 — hardening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42" customWidth="1" min="4" max="4"/>
    <col width="32" customWidth="1" min="5" max="5"/>
    <col width="42" customWidth="1" min="6" max="6"/>
    <col width="14" customWidth="1" min="7" max="7"/>
    <col width="16" customWidth="1" min="8" max="8"/>
    <col width="13" customWidth="1" min="9" max="9"/>
    <col width="12" customWidth="1" min="10" max="10"/>
  </cols>
  <sheetData>
    <row r="1">
      <c r="A1" s="61" t="inlineStr">
        <is>
          <t>Testing Plan — from automated tests through Alpha, Beta, and GA</t>
        </is>
      </c>
    </row>
    <row r="2">
      <c r="A2" s="15" t="inlineStr">
        <is>
          <t>Every test type required before going live, sequenced by phase, plus the Alpha -&gt; Closed Beta -&gt; Staged Beta -&gt; GA rollout milestones.</t>
        </is>
      </c>
    </row>
    <row r="4">
      <c r="A4" s="4" t="inlineStr">
        <is>
          <t>Rollout Milestones</t>
        </is>
      </c>
    </row>
    <row r="5" ht="24" customHeight="1">
      <c r="A5" s="20" t="inlineStr">
        <is>
          <t>Stage</t>
        </is>
      </c>
      <c r="B5" s="20" t="inlineStr">
        <is>
          <t>Tenant Count</t>
        </is>
      </c>
      <c r="C5" s="20" t="inlineStr">
        <is>
          <t>Duration</t>
        </is>
      </c>
      <c r="D5" s="20" t="inlineStr">
        <is>
          <t>Entry Criteria</t>
        </is>
      </c>
      <c r="E5" s="20" t="inlineStr">
        <is>
          <t>Exit Criteria / Pass Bar</t>
        </is>
      </c>
    </row>
    <row r="6" ht="46" customHeight="1">
      <c r="A6" s="21" t="inlineStr">
        <is>
          <t>Internal Alpha</t>
        </is>
      </c>
      <c r="B6" s="22" t="inlineStr">
        <is>
          <t>0 (internal only)</t>
        </is>
      </c>
      <c r="C6" s="22" t="inlineStr">
        <is>
          <t>1-2 weeks</t>
        </is>
      </c>
      <c r="D6" s="22" t="inlineStr">
        <is>
          <t>Sprint 0 + 1 P0 Done, automated suite green</t>
        </is>
      </c>
      <c r="E6" s="22" t="inlineStr">
        <is>
          <t>Zero open P0/P1 after full manual walkthrough of every module + baseline load test</t>
        </is>
      </c>
    </row>
    <row r="7" ht="46" customHeight="1">
      <c r="A7" s="26" t="inlineStr">
        <is>
          <t>Closed Beta</t>
        </is>
      </c>
      <c r="B7" s="22" t="inlineStr">
        <is>
          <t>3-5 design partners</t>
        </is>
      </c>
      <c r="C7" s="22" t="inlineStr">
        <is>
          <t>2-4 weeks</t>
        </is>
      </c>
      <c r="D7" s="22" t="inlineStr">
        <is>
          <t>Alpha exit met + Sprint 2 + 3 Done + backup/restore drill passed</t>
        </is>
      </c>
      <c r="E7" s="22" t="inlineStr">
        <is>
          <t>No P0 incidents, daily active usage from most partners, isolation matrix 100% pass, 1+ non-textile tenant validated</t>
        </is>
      </c>
    </row>
    <row r="8" ht="46" customHeight="1">
      <c r="A8" s="27" t="inlineStr">
        <is>
          <t>Staged Open Beta</t>
        </is>
      </c>
      <c r="B8" s="22" t="inlineStr">
        <is>
          <t>10 -&gt; 30 -&gt; 50 tenants</t>
        </is>
      </c>
      <c r="C8" s="22" t="inlineStr">
        <is>
          <t>3-6 weeks (tiered)</t>
        </is>
      </c>
      <c r="D8" s="22" t="inlineStr">
        <is>
          <t>Closed Beta exit met + Sprint 5 Done</t>
        </is>
      </c>
      <c r="E8" s="22" t="inlineStr">
        <is>
          <t>SLO held at every tier, zero scheduler/cross-tenant incidents, support load manageable</t>
        </is>
      </c>
    </row>
    <row r="9" ht="46" customHeight="1">
      <c r="A9" s="29" t="inlineStr">
        <is>
          <t>General Availability</t>
        </is>
      </c>
      <c r="B9" s="22" t="inlineStr">
        <is>
          <t>100+ / self-serve</t>
        </is>
      </c>
      <c r="C9" s="22" t="inlineStr">
        <is>
          <t>Ongoing</t>
        </is>
      </c>
      <c r="D9" s="22" t="inlineStr">
        <is>
          <t>Staged Beta exit met + Go-Live Checklist 100% + go/no-go held</t>
        </is>
      </c>
      <c r="E9" s="22" t="inlineStr">
        <is>
          <t>Sustained SLA at target traffic, zero open P0s for a full monitoring cycle</t>
        </is>
      </c>
    </row>
    <row r="11">
      <c r="A11" s="4" t="inlineStr">
        <is>
          <t>Detailed Test Plan — by phase</t>
        </is>
      </c>
    </row>
    <row r="12" ht="26" customHeight="1">
      <c r="A12" s="62" t="inlineStr">
        <is>
          <t>Phase</t>
        </is>
      </c>
      <c r="B12" s="62" t="inlineStr">
        <is>
          <t>Test Type</t>
        </is>
      </c>
      <c r="C12" s="62" t="inlineStr">
        <is>
          <t>What It Verifies</t>
        </is>
      </c>
      <c r="D12" s="62" t="inlineStr">
        <is>
          <t>Scope / Method</t>
        </is>
      </c>
      <c r="E12" s="62" t="inlineStr">
        <is>
          <t>Entry Criteria</t>
        </is>
      </c>
      <c r="F12" s="62" t="inlineStr">
        <is>
          <t>Exit Criteria / Pass Bar</t>
        </is>
      </c>
      <c r="G12" s="62" t="inlineStr">
        <is>
          <t>Environment</t>
        </is>
      </c>
      <c r="H12" s="62" t="inlineStr">
        <is>
          <t>Linked Sprint</t>
        </is>
      </c>
      <c r="I12" s="63" t="inlineStr">
        <is>
          <t>Status</t>
        </is>
      </c>
      <c r="J12" s="63" t="inlineStr">
        <is>
          <t>Owner</t>
        </is>
      </c>
    </row>
    <row r="13" ht="58" customHeight="1">
      <c r="A13" s="64" t="inlineStr">
        <is>
          <t>A</t>
        </is>
      </c>
      <c r="B13" s="103" t="inlineStr">
        <is>
          <t>Unit Testing</t>
        </is>
      </c>
      <c r="C13" s="22" t="inlineStr">
        <is>
          <t>Individual functions/handlers behave correctly in isolation (auth, RBAC, compute handlers, operating-model resolver, etc.)</t>
        </is>
      </c>
      <c r="D13" s="22" t="inlineStr">
        <is>
          <t>pytest, run on every PR (backend/pytest.ini, backend/tests/)</t>
        </is>
      </c>
      <c r="E13" s="22" t="inlineStr">
        <is>
          <t>Code written</t>
        </is>
      </c>
      <c r="F13" s="22" t="inlineStr">
        <is>
          <t>100% of new/changed code has a passing unit test; suite green in CI</t>
        </is>
      </c>
      <c r="G13" s="103" t="inlineStr">
        <is>
          <t>Dev / CI</t>
        </is>
      </c>
      <c r="H13" s="103" t="inlineStr">
        <is>
          <t>Sprint 0-5 (continuous)</t>
        </is>
      </c>
      <c r="I13" s="37" t="inlineStr">
        <is>
          <t>In Progress — 279/279 offline suite green across 15 test files</t>
        </is>
      </c>
      <c r="J13" s="103" t="inlineStr"/>
    </row>
    <row r="14" ht="58" customHeight="1">
      <c r="A14" s="64" t="inlineStr">
        <is>
          <t>A</t>
        </is>
      </c>
      <c r="B14" s="103" t="inlineStr">
        <is>
          <t>Integration Testing</t>
        </is>
      </c>
      <c r="C14" s="22" t="inlineStr">
        <is>
          <t>Full request/response flow across routers + DB for each domain (auth, tasks, decisions, workflows, brain, ledger)</t>
        </is>
      </c>
      <c r="D14" s="22" t="inlineStr">
        <is>
          <t>pytest against a real test Mongo instance, one suite per router domain</t>
        </is>
      </c>
      <c r="E14" s="22" t="inlineStr">
        <is>
          <t>Unit suite green</t>
        </is>
      </c>
      <c r="F14" s="22" t="inlineStr">
        <is>
          <t>Every endpoint touched by Sprints 0-3 has at least one integration test; suite green</t>
        </is>
      </c>
      <c r="G14" s="103" t="inlineStr">
        <is>
          <t>Dev / CI</t>
        </is>
      </c>
      <c r="H14" s="103" t="inlineStr">
        <is>
          <t>Sprint 0-3</t>
        </is>
      </c>
      <c r="I14" s="37" t="inlineStr">
        <is>
          <t>Not Started</t>
        </is>
      </c>
      <c r="J14" s="103" t="inlineStr"/>
    </row>
    <row r="15" ht="58" customHeight="1">
      <c r="A15" s="64" t="inlineStr">
        <is>
          <t>A</t>
        </is>
      </c>
      <c r="B15" s="103" t="inlineStr">
        <is>
          <t>Regression Testing</t>
        </is>
      </c>
      <c r="C15" s="22" t="inlineStr">
        <is>
          <t>Nothing that used to work broke as a result of this round of fixes</t>
        </is>
      </c>
      <c r="D15" s="22" t="inlineStr">
        <is>
          <t>Full automated suite re-run after each sprint merges to the branch</t>
        </is>
      </c>
      <c r="E15" s="22" t="inlineStr">
        <is>
          <t>Each sprint's tasks marked Done</t>
        </is>
      </c>
      <c r="F15" s="22" t="inlineStr">
        <is>
          <t>Zero net-new failures vs. the pre-sprint baseline run</t>
        </is>
      </c>
      <c r="G15" s="103" t="inlineStr">
        <is>
          <t>CI</t>
        </is>
      </c>
      <c r="H15" s="103" t="inlineStr">
        <is>
          <t>Every sprint</t>
        </is>
      </c>
      <c r="I15" s="37" t="inlineStr">
        <is>
          <t>In Progress — 279/279 offline suite green across 15 test files</t>
        </is>
      </c>
      <c r="J15" s="103" t="inlineStr"/>
    </row>
    <row r="16" ht="58" customHeight="1">
      <c r="A16" s="65" t="inlineStr">
        <is>
          <t>B</t>
        </is>
      </c>
      <c r="B16" s="103" t="inlineStr">
        <is>
          <t>Multi-Tenant Isolation Test Matrix</t>
        </is>
      </c>
      <c r="C16" s="22" t="inlineStr">
        <is>
          <t>No cross-tenant read/write is possible on ANY collection, endpoint, or background job</t>
        </is>
      </c>
      <c r="D16" s="22" t="inlineStr">
        <is>
          <t>Scripted test: create 2+ tenants with overlapping data (incl. same phone number per S2-03), attempt cross-tenant read/write/delete on every collection + every _ensure_owned call site from S2-01</t>
        </is>
      </c>
      <c r="E16" s="22" t="inlineStr">
        <is>
          <t>Sprint 2 tasks Done</t>
        </is>
      </c>
      <c r="F16" s="22" t="inlineStr">
        <is>
          <t>100% pass — zero cross-tenant access possible, incl. OTP/WhatsApp phone routing and tenant deletion completeness</t>
        </is>
      </c>
      <c r="G16" s="103" t="inlineStr">
        <is>
          <t>Staging</t>
        </is>
      </c>
      <c r="H16" s="103" t="inlineStr">
        <is>
          <t>Sprint 2</t>
        </is>
      </c>
      <c r="I16" s="37" t="inlineStr">
        <is>
          <t>Not Started</t>
        </is>
      </c>
      <c r="J16" s="103" t="inlineStr"/>
    </row>
    <row r="17" ht="58" customHeight="1">
      <c r="A17" s="65" t="inlineStr">
        <is>
          <t>B</t>
        </is>
      </c>
      <c r="B17" s="103" t="inlineStr">
        <is>
          <t>Dynamic-Workflow Multi-Tenant Test</t>
        </is>
      </c>
      <c r="C17" s="22" t="inlineStr">
        <is>
          <t>A NON-textile tenant (e.g. restaurant/clinic) gets a correctly working approval + payment-tracking loop, not just the textile demo</t>
        </is>
      </c>
      <c r="D17" s="22" t="inlineStr">
        <is>
          <t>Onboard a synthetic non-textile tenant, run its AI-designed pipeline end to end incl. owner approval + dashboard KPIs</t>
        </is>
      </c>
      <c r="E17" s="22" t="inlineStr">
        <is>
          <t>S1-06 Done</t>
        </is>
      </c>
      <c r="F17" s="22" t="inlineStr">
        <is>
          <t>Approval gate, pending-purchases dashboard, and payment-overdue alerts all fire correctly for the non-textile pipeline</t>
        </is>
      </c>
      <c r="G17" s="103" t="inlineStr">
        <is>
          <t>Staging</t>
        </is>
      </c>
      <c r="H17" s="103" t="inlineStr">
        <is>
          <t>Sprint 1</t>
        </is>
      </c>
      <c r="I17" s="37" t="inlineStr">
        <is>
          <t>Not Started</t>
        </is>
      </c>
      <c r="J17" s="103" t="inlineStr"/>
    </row>
    <row r="18" ht="58" customHeight="1">
      <c r="A18" s="66" t="inlineStr">
        <is>
          <t>C</t>
        </is>
      </c>
      <c r="B18" s="103" t="inlineStr">
        <is>
          <t>Security / Penetration Testing</t>
        </is>
      </c>
      <c r="C18" s="22" t="inlineStr">
        <is>
          <t>Every Sprint 0 vulnerability is actually closed, not just patched in one spot</t>
        </is>
      </c>
      <c r="D18" s="22" t="inlineStr">
        <is>
          <t>Manual + tool-assisted (OWASP ZAP or similar): CORS/CSRF exploit attempt, unauth file access, JWT tampering, WhatsApp signature bypass, brute-force login, superadmin default creds</t>
        </is>
      </c>
      <c r="E18" s="22" t="inlineStr">
        <is>
          <t>Sprint 0 tasks Done</t>
        </is>
      </c>
      <c r="F18" s="22" t="inlineStr">
        <is>
          <t>Zero exploitable findings on the Sprint 0 issue list; independent reviewer (or external pentest) sign-off</t>
        </is>
      </c>
      <c r="G18" s="103" t="inlineStr">
        <is>
          <t>Staging</t>
        </is>
      </c>
      <c r="H18" s="103" t="inlineStr">
        <is>
          <t>Sprint 0</t>
        </is>
      </c>
      <c r="I18" s="37" t="inlineStr">
        <is>
          <t>Not Started</t>
        </is>
      </c>
      <c r="J18" s="103" t="inlineStr"/>
    </row>
    <row r="19" ht="58" customHeight="1">
      <c r="A19" s="66" t="inlineStr">
        <is>
          <t>C</t>
        </is>
      </c>
      <c r="B19" s="103" t="inlineStr">
        <is>
          <t>RBAC / Permission Audit</t>
        </is>
      </c>
      <c r="C19" s="22" t="inlineStr">
        <is>
          <t>Every role sees exactly what it should and nothing more (finance data, admin routes, brain visibility rules)</t>
        </is>
      </c>
      <c r="D19" s="22" t="inlineStr">
        <is>
          <t>Scripted test matrix: role x endpoint x expected access, incl. brain_rbac intents and document visibility rules</t>
        </is>
      </c>
      <c r="E19" s="22" t="inlineStr">
        <is>
          <t>Sprint 0-2 Done</t>
        </is>
      </c>
      <c r="F19" s="22" t="inlineStr">
        <is>
          <t>100% pass on the role x endpoint matrix</t>
        </is>
      </c>
      <c r="G19" s="103" t="inlineStr">
        <is>
          <t>Staging</t>
        </is>
      </c>
      <c r="H19" s="103" t="inlineStr">
        <is>
          <t>Sprint 0-2</t>
        </is>
      </c>
      <c r="I19" s="37" t="inlineStr">
        <is>
          <t>Not Started</t>
        </is>
      </c>
      <c r="J19" s="103" t="inlineStr"/>
    </row>
    <row r="20" ht="58" customHeight="1">
      <c r="A20" s="67" t="inlineStr">
        <is>
          <t>D</t>
        </is>
      </c>
      <c r="B20" s="103" t="inlineStr">
        <is>
          <t>Load / Performance Testing — Baseline</t>
        </is>
      </c>
      <c r="C20" s="22" t="inlineStr">
        <is>
          <t>Normal-traffic response times meet SLO before adding concurrency</t>
        </is>
      </c>
      <c r="D20" s="22" t="inlineStr">
        <is>
          <t>k6 or Locust against staging, single-tenant, ramping requests per endpoint</t>
        </is>
      </c>
      <c r="E20" s="22" t="inlineStr">
        <is>
          <t>Sprint 1 Done, staging live (S5-01)</t>
        </is>
      </c>
      <c r="F20" s="22" t="inlineStr">
        <is>
          <t>P95 latency within target (e.g. &lt;500ms for reads, &lt;3s for AI-backed endpoints) at expected steady load</t>
        </is>
      </c>
      <c r="G20" s="103" t="inlineStr">
        <is>
          <t>Staging</t>
        </is>
      </c>
      <c r="H20" s="103" t="inlineStr">
        <is>
          <t>Sprint 5</t>
        </is>
      </c>
      <c r="I20" s="37" t="inlineStr">
        <is>
          <t>Not Started</t>
        </is>
      </c>
      <c r="J20" s="103" t="inlineStr"/>
    </row>
    <row r="21" ht="58" customHeight="1">
      <c r="A21" s="67" t="inlineStr">
        <is>
          <t>D</t>
        </is>
      </c>
      <c r="B21" s="103" t="inlineStr">
        <is>
          <t>Load Testing — Multi-Tenant Concurrency</t>
        </is>
      </c>
      <c r="C21" s="22" t="inlineStr">
        <is>
          <t>The system holds up with ~100 tenants' worth of simultaneous traffic, not just one tenant at a time</t>
        </is>
      </c>
      <c r="D21" s="22" t="inlineStr">
        <is>
          <t>k6/Locust simulating 100 tenants concurrently hitting dashboards, /ask, and voice-capture together (S5-02)</t>
        </is>
      </c>
      <c r="E21" s="22" t="inlineStr">
        <is>
          <t>Baseline load test passed</t>
        </is>
      </c>
      <c r="F21" s="22" t="inlineStr">
        <is>
          <t>No error-rate spike, no shared-LLM-key 429 cascade (validates S1-05), DB pool holds under SUMMED load</t>
        </is>
      </c>
      <c r="G21" s="103" t="inlineStr">
        <is>
          <t>Staging</t>
        </is>
      </c>
      <c r="H21" s="103" t="inlineStr">
        <is>
          <t>Sprint 5</t>
        </is>
      </c>
      <c r="I21" s="37" t="inlineStr">
        <is>
          <t>Not Started</t>
        </is>
      </c>
      <c r="J21" s="103" t="inlineStr"/>
    </row>
    <row r="22" ht="58" customHeight="1">
      <c r="A22" s="67" t="inlineStr">
        <is>
          <t>D</t>
        </is>
      </c>
      <c r="B22" s="103" t="inlineStr">
        <is>
          <t>Spike / Burst Testing</t>
        </is>
      </c>
      <c r="C22" s="22" t="inlineStr">
        <is>
          <t>A sudden burst (e.g. many tenants' morning login + voice-capture rush) doesn't cascade into an outage</t>
        </is>
      </c>
      <c r="D22" s="22" t="inlineStr">
        <is>
          <t>Short high-intensity burst against the follow-up-scheduler window and login/OTP path</t>
        </is>
      </c>
      <c r="E22" s="22" t="inlineStr">
        <is>
          <t>Multi-tenant load test passed</t>
        </is>
      </c>
      <c r="F22" s="22" t="inlineStr">
        <is>
          <t>System recovers within target time with no dropped requests beyond configured rate limits</t>
        </is>
      </c>
      <c r="G22" s="103" t="inlineStr">
        <is>
          <t>Staging</t>
        </is>
      </c>
      <c r="H22" s="103" t="inlineStr">
        <is>
          <t>Sprint 5</t>
        </is>
      </c>
      <c r="I22" s="37" t="inlineStr">
        <is>
          <t>Not Started</t>
        </is>
      </c>
      <c r="J22" s="103" t="inlineStr"/>
    </row>
    <row r="23" ht="58" customHeight="1">
      <c r="A23" s="67" t="inlineStr">
        <is>
          <t>D</t>
        </is>
      </c>
      <c r="B23" s="103" t="inlineStr">
        <is>
          <t>Soak / Endurance Testing</t>
        </is>
      </c>
      <c r="C23" s="22" t="inlineStr">
        <is>
          <t>No slow memory leak, connection-pool exhaustion, or gradual degradation over sustained runtime</t>
        </is>
      </c>
      <c r="D23" s="22" t="inlineStr">
        <is>
          <t>Run realistic traffic continuously for 24-48h on staging</t>
        </is>
      </c>
      <c r="E23" s="22" t="inlineStr">
        <is>
          <t>Spike test passed</t>
        </is>
      </c>
      <c r="F23" s="22" t="inlineStr">
        <is>
          <t>No degradation in latency/error-rate/memory over the full run</t>
        </is>
      </c>
      <c r="G23" s="103" t="inlineStr">
        <is>
          <t>Staging</t>
        </is>
      </c>
      <c r="H23" s="103" t="inlineStr">
        <is>
          <t>Sprint 5</t>
        </is>
      </c>
      <c r="I23" s="37" t="inlineStr">
        <is>
          <t>Not Started</t>
        </is>
      </c>
      <c r="J23" s="103" t="inlineStr"/>
    </row>
    <row r="24" ht="58" customHeight="1">
      <c r="A24" s="67" t="inlineStr">
        <is>
          <t>D</t>
        </is>
      </c>
      <c r="B24" s="103" t="inlineStr">
        <is>
          <t>Database Query Performance at Volume</t>
        </is>
      </c>
      <c r="C24" s="22" t="inlineStr">
        <is>
          <t>Indexes actually get used and stay fast as data grows, not just at demo-tenant scale</t>
        </is>
      </c>
      <c r="D24" s="22" t="inlineStr">
        <is>
          <t>Seed staging with ~50k tasks / 10k contacts / 20k invoices across many tenants; profile the hot dashboard + /ask queries</t>
        </is>
      </c>
      <c r="E24" s="22" t="inlineStr">
        <is>
          <t>Schema fixes (S2-08, SCALE items) Done</t>
        </is>
      </c>
      <c r="F24" s="22" t="inlineStr">
        <is>
          <t>No full-collection scans on hot paths; dashboard/brief load within SLO at seeded volume</t>
        </is>
      </c>
      <c r="G24" s="103" t="inlineStr">
        <is>
          <t>Staging</t>
        </is>
      </c>
      <c r="H24" s="103" t="inlineStr">
        <is>
          <t>Sprint 1-2</t>
        </is>
      </c>
      <c r="I24" s="37" t="inlineStr">
        <is>
          <t>Not Started</t>
        </is>
      </c>
      <c r="J24" s="103" t="inlineStr"/>
    </row>
    <row r="25" ht="58" customHeight="1">
      <c r="A25" s="68" t="inlineStr">
        <is>
          <t>E</t>
        </is>
      </c>
      <c r="B25" s="103" t="inlineStr">
        <is>
          <t>Multi-Replica / Concurrency Testing</t>
        </is>
      </c>
      <c r="C25" s="22" t="inlineStr">
        <is>
          <t>Running 3+ app replicas doesn't duplicate scheduled work or race on startup</t>
        </is>
      </c>
      <c r="D25" s="22" t="inlineStr">
        <is>
          <t>Deploy 3 replicas on staging; verify the follow-up scheduler fires exactly once per interval, not 3x (validates S1-01); verify index/migration bootstrap doesn't race</t>
        </is>
      </c>
      <c r="E25" s="22" t="inlineStr">
        <is>
          <t>Sprint 1 Done, real deploy config (S1-04) exists</t>
        </is>
      </c>
      <c r="F25" s="22" t="inlineStr">
        <is>
          <t>Zero duplicate escalation emails/alerts observed across a full scheduler interval with 3 replicas running</t>
        </is>
      </c>
      <c r="G25" s="103" t="inlineStr">
        <is>
          <t>Staging</t>
        </is>
      </c>
      <c r="H25" s="103" t="inlineStr">
        <is>
          <t>Sprint 1</t>
        </is>
      </c>
      <c r="I25" s="37" t="inlineStr">
        <is>
          <t>Not Started</t>
        </is>
      </c>
      <c r="J25" s="103" t="inlineStr"/>
    </row>
    <row r="26" ht="58" customHeight="1">
      <c r="A26" s="68" t="inlineStr">
        <is>
          <t>E</t>
        </is>
      </c>
      <c r="B26" s="103" t="inlineStr">
        <is>
          <t>Failure-Injection / Chaos Testing</t>
        </is>
      </c>
      <c r="C26" s="22" t="inlineStr">
        <is>
          <t>The system degrades gracefully, not catastrophically, when a dependency fails</t>
        </is>
      </c>
      <c r="D26" s="22" t="inlineStr">
        <is>
          <t>Kill a replica mid-request, simulate the LLM provider timing out/erroring, simulate a DB connection drop</t>
        </is>
      </c>
      <c r="E26" s="22" t="inlineStr">
        <is>
          <t>Multi-replica test passed</t>
        </is>
      </c>
      <c r="F26" s="22" t="inlineStr">
        <is>
          <t>In-flight requests fail cleanly with a user-visible error, no data corruption, service recovers automatically</t>
        </is>
      </c>
      <c r="G26" s="103" t="inlineStr">
        <is>
          <t>Staging</t>
        </is>
      </c>
      <c r="H26" s="103" t="inlineStr">
        <is>
          <t>Sprint 5</t>
        </is>
      </c>
      <c r="I26" s="37" t="inlineStr">
        <is>
          <t>Not Started</t>
        </is>
      </c>
      <c r="J26" s="103" t="inlineStr"/>
    </row>
    <row r="27" ht="58" customHeight="1">
      <c r="A27" s="69" t="inlineStr">
        <is>
          <t>F</t>
        </is>
      </c>
      <c r="B27" s="103" t="inlineStr">
        <is>
          <t>Data Migration Dry-Run</t>
        </is>
      </c>
      <c r="C27" s="22" t="inlineStr">
        <is>
          <t>Every schema change introduced by Sprints 0-3 applies cleanly to real-shaped data with no loss</t>
        </is>
      </c>
      <c r="D27" s="22" t="inlineStr">
        <is>
          <t>Run the migration plan (S5-05) against a full staging copy of realistic seeded data; diff before/after</t>
        </is>
      </c>
      <c r="E27" s="22" t="inlineStr">
        <is>
          <t>All schema-changing tasks (S1-02, S2-01/02/08, S3-02) Done</t>
        </is>
      </c>
      <c r="F27" s="22" t="inlineStr">
        <is>
          <t>Migration completes with zero data loss and a documented rollback path; re-run is idempotent</t>
        </is>
      </c>
      <c r="G27" s="103" t="inlineStr">
        <is>
          <t>Staging</t>
        </is>
      </c>
      <c r="H27" s="103" t="inlineStr">
        <is>
          <t>Sprint 5</t>
        </is>
      </c>
      <c r="I27" s="37" t="inlineStr">
        <is>
          <t>Not Started</t>
        </is>
      </c>
      <c r="J27" s="103" t="inlineStr"/>
    </row>
    <row r="28" ht="58" customHeight="1">
      <c r="A28" s="69" t="inlineStr">
        <is>
          <t>F</t>
        </is>
      </c>
      <c r="B28" s="103" t="inlineStr">
        <is>
          <t>Backup &amp; Disaster-Recovery Drill</t>
        </is>
      </c>
      <c r="C28" s="22" t="inlineStr">
        <is>
          <t>A real restore works within the defined RPO/RTO, not just a backup file existing</t>
        </is>
      </c>
      <c r="D28" s="22" t="inlineStr">
        <is>
          <t>Actually delete/corrupt a staging DB copy and restore from the S5-04 backup process, timed</t>
        </is>
      </c>
      <c r="E28" s="22" t="inlineStr">
        <is>
          <t>S5-04 backup runbook written</t>
        </is>
      </c>
      <c r="F28" s="22" t="inlineStr">
        <is>
          <t>Restore completes within the target RTO with data loss within the target RPO</t>
        </is>
      </c>
      <c r="G28" s="103" t="inlineStr">
        <is>
          <t>Staging</t>
        </is>
      </c>
      <c r="H28" s="103" t="inlineStr">
        <is>
          <t>Sprint 5</t>
        </is>
      </c>
      <c r="I28" s="37" t="inlineStr">
        <is>
          <t>Not Started</t>
        </is>
      </c>
      <c r="J28" s="103" t="inlineStr"/>
    </row>
    <row r="29" ht="58" customHeight="1">
      <c r="A29" s="69" t="inlineStr">
        <is>
          <t>F</t>
        </is>
      </c>
      <c r="B29" s="103" t="inlineStr">
        <is>
          <t>Tenant-Deletion Completeness Test</t>
        </is>
      </c>
      <c r="C29" s="22" t="inlineStr">
        <is>
          <t>Deleting a tenant removes 100% of their data (DB + files), nothing orphaned</t>
        </is>
      </c>
      <c r="D29" s="22" t="inlineStr">
        <is>
          <t>Create a tenant with data in every collection incl. brain_context/brain_documents/files, delete it, verify zero remaining rows/files</t>
        </is>
      </c>
      <c r="E29" s="22" t="inlineStr">
        <is>
          <t>S2-02 Done</t>
        </is>
      </c>
      <c r="F29" s="22" t="inlineStr">
        <is>
          <t>Zero rows or files remain referencing the deleted tenant_id anywhere</t>
        </is>
      </c>
      <c r="G29" s="103" t="inlineStr">
        <is>
          <t>Staging</t>
        </is>
      </c>
      <c r="H29" s="103" t="inlineStr">
        <is>
          <t>Sprint 2</t>
        </is>
      </c>
      <c r="I29" s="37" t="inlineStr">
        <is>
          <t>Not Started</t>
        </is>
      </c>
      <c r="J29" s="103" t="inlineStr"/>
    </row>
    <row r="30" ht="58" customHeight="1">
      <c r="A30" s="70" t="inlineStr">
        <is>
          <t>G</t>
        </is>
      </c>
      <c r="B30" s="103" t="inlineStr">
        <is>
          <t>Internal Alpha Testing</t>
        </is>
      </c>
      <c r="C30" s="22" t="inlineStr">
        <is>
          <t>The team itself can run real day-to-day operations on the product without a P0/P1 bug surfacing</t>
        </is>
      </c>
      <c r="D30" s="22" t="inlineStr">
        <is>
          <t>Internal team + demo data, every module used daily for the alpha window</t>
        </is>
      </c>
      <c r="E30" s="22" t="inlineStr">
        <is>
          <t>Sprint 0 + Sprint 1 P0 all Done; automated suite green</t>
        </is>
      </c>
      <c r="F30" s="22" t="inlineStr">
        <is>
          <t>Zero open P0/P1 bugs after the alpha window; baseline load test passed</t>
        </is>
      </c>
      <c r="G30" s="103" t="inlineStr">
        <is>
          <t>Staging (alpha)</t>
        </is>
      </c>
      <c r="H30" s="103" t="inlineStr">
        <is>
          <t>After Sprint 1</t>
        </is>
      </c>
      <c r="I30" s="37" t="inlineStr">
        <is>
          <t>Not Started</t>
        </is>
      </c>
      <c r="J30" s="103" t="inlineStr"/>
    </row>
    <row r="31" ht="58" customHeight="1">
      <c r="A31" s="71" t="inlineStr">
        <is>
          <t>H</t>
        </is>
      </c>
      <c r="B31" s="103" t="inlineStr">
        <is>
          <t>Closed Beta — Design Partners</t>
        </is>
      </c>
      <c r="C31" s="22" t="inlineStr">
        <is>
          <t>A small set of REAL external tenants (ideally incl. a non-textile business) run real operations and the product holds up without hand-holding beyond normal support</t>
        </is>
      </c>
      <c r="D31" s="22" t="inlineStr">
        <is>
          <t>3-5 hand-picked design-partner tenants, high-touch support, 2-4 weeks, daily monitoring</t>
        </is>
      </c>
      <c r="E31" s="22" t="inlineStr">
        <is>
          <t>Alpha exit criteria met; Sprint 2 + Sprint 3 Done; backup/restore drill passed</t>
        </is>
      </c>
      <c r="F31" s="22" t="inlineStr">
        <is>
          <t>No P0 incidents; majority of design partners show daily active usage; tenant isolation matrix 100% pass with real data; at least 1 non-textile tenant validates the workflow fix</t>
        </is>
      </c>
      <c r="G31" s="103" t="inlineStr">
        <is>
          <t>Production (limited)</t>
        </is>
      </c>
      <c r="H31" s="103" t="inlineStr">
        <is>
          <t>After Sprint 3</t>
        </is>
      </c>
      <c r="I31" s="37" t="inlineStr">
        <is>
          <t>Not Started</t>
        </is>
      </c>
      <c r="J31" s="103" t="inlineStr"/>
    </row>
    <row r="32" ht="58" customHeight="1">
      <c r="A32" s="72" t="inlineStr">
        <is>
          <t>I</t>
        </is>
      </c>
      <c r="B32" s="103" t="inlineStr">
        <is>
          <t>Staged Open Beta</t>
        </is>
      </c>
      <c r="C32" s="22" t="inlineStr">
        <is>
          <t>Controlled expansion in tiers with a monitoring checkpoint before each step, so a problem is caught at 10 tenants, not 100</t>
        </is>
      </c>
      <c r="D32" s="22" t="inlineStr">
        <is>
          <t>Expand 10 -&gt; 30 -&gt; 50 tenants; hold at each tier for a monitoring window before advancing (ties to S5-09)</t>
        </is>
      </c>
      <c r="E32" s="22" t="inlineStr">
        <is>
          <t>Closed Beta exit criteria met; Sprint 5 Done (load test, observability, migration dry-run)</t>
        </is>
      </c>
      <c r="F32" s="22" t="inlineStr">
        <is>
          <t>Error rate + latency within SLO at every tier; no scheduler double-fire or cross-tenant incident observed; support volume stays manageable</t>
        </is>
      </c>
      <c r="G32" s="103" t="inlineStr">
        <is>
          <t>Production</t>
        </is>
      </c>
      <c r="H32" s="103" t="inlineStr">
        <is>
          <t>Sprint 5</t>
        </is>
      </c>
      <c r="I32" s="37" t="inlineStr">
        <is>
          <t>Not Started</t>
        </is>
      </c>
      <c r="J32" s="103" t="inlineStr"/>
    </row>
    <row r="33" ht="58" customHeight="1">
      <c r="A33" s="73" t="inlineStr">
        <is>
          <t>J</t>
        </is>
      </c>
      <c r="B33" s="103" t="inlineStr">
        <is>
          <t>General Availability / Self-Serve Launch</t>
        </is>
      </c>
      <c r="C33" s="22" t="inlineStr">
        <is>
          <t>The product is ready for unassisted signup at the full target scale</t>
        </is>
      </c>
      <c r="D33" s="22" t="inlineStr">
        <is>
          <t>Open self-serve signup; remove any beta gating</t>
        </is>
      </c>
      <c r="E33" s="22" t="inlineStr">
        <is>
          <t>Staged Beta exit criteria met; Go-Live Checklist 100% TRUE; final go/no-go held (S5-10)</t>
        </is>
      </c>
      <c r="F33" s="22" t="inlineStr">
        <is>
          <t>Sustained SLA at ~100-tenant traffic with no open P0s for a full monitoring cycle</t>
        </is>
      </c>
      <c r="G33" s="103" t="inlineStr">
        <is>
          <t>Production</t>
        </is>
      </c>
      <c r="H33" s="103" t="inlineStr">
        <is>
          <t>After Sprint 5</t>
        </is>
      </c>
      <c r="I33" s="37" t="inlineStr">
        <is>
          <t>Not Started</t>
        </is>
      </c>
      <c r="J33" s="103" t="inlineStr"/>
    </row>
    <row r="35">
      <c r="A35" s="57" t="inlineStr">
        <is>
          <t>Phase key:</t>
        </is>
      </c>
    </row>
    <row r="36">
      <c r="A36" s="74" t="inlineStr">
        <is>
          <t>A</t>
        </is>
      </c>
      <c r="B36" s="75" t="inlineStr">
        <is>
          <t>Automated (Unit/Integration/Regression)</t>
        </is>
      </c>
    </row>
    <row r="37">
      <c r="A37" s="76" t="inlineStr">
        <is>
          <t>B</t>
        </is>
      </c>
      <c r="B37" s="75" t="inlineStr">
        <is>
          <t>Multi-Tenant Isolation</t>
        </is>
      </c>
    </row>
    <row r="38">
      <c r="A38" s="77" t="inlineStr">
        <is>
          <t>C</t>
        </is>
      </c>
      <c r="B38" s="75" t="inlineStr">
        <is>
          <t>Security / Pentest</t>
        </is>
      </c>
    </row>
    <row r="39">
      <c r="A39" s="78" t="inlineStr">
        <is>
          <t>D</t>
        </is>
      </c>
      <c r="B39" s="75" t="inlineStr">
        <is>
          <t>Load &amp; Performance</t>
        </is>
      </c>
    </row>
    <row r="40">
      <c r="A40" s="79" t="inlineStr">
        <is>
          <t>E</t>
        </is>
      </c>
      <c r="B40" s="75" t="inlineStr">
        <is>
          <t>Resilience / Concurrency / Chaos</t>
        </is>
      </c>
    </row>
    <row r="41">
      <c r="A41" s="80" t="inlineStr">
        <is>
          <t>F</t>
        </is>
      </c>
      <c r="B41" s="75" t="inlineStr">
        <is>
          <t>Migration &amp; Backup/DR</t>
        </is>
      </c>
    </row>
    <row r="42">
      <c r="A42" s="81" t="inlineStr">
        <is>
          <t>G</t>
        </is>
      </c>
      <c r="B42" s="75" t="inlineStr">
        <is>
          <t>Internal Alpha</t>
        </is>
      </c>
    </row>
    <row r="43">
      <c r="A43" s="82" t="inlineStr">
        <is>
          <t>H</t>
        </is>
      </c>
      <c r="B43" s="75" t="inlineStr">
        <is>
          <t>Closed Beta</t>
        </is>
      </c>
    </row>
    <row r="44">
      <c r="A44" s="83" t="inlineStr">
        <is>
          <t>I</t>
        </is>
      </c>
      <c r="B44" s="75" t="inlineStr">
        <is>
          <t>Staged Open Beta</t>
        </is>
      </c>
    </row>
    <row r="45">
      <c r="A45" s="84" t="inlineStr">
        <is>
          <t>J</t>
        </is>
      </c>
      <c r="B45" s="75" t="inlineStr">
        <is>
          <t>General Availability</t>
        </is>
      </c>
    </row>
  </sheetData>
  <mergeCells count="12">
    <mergeCell ref="A2:F2"/>
    <mergeCell ref="B42:D42"/>
    <mergeCell ref="B36:D36"/>
    <mergeCell ref="B37:D37"/>
    <mergeCell ref="B45:D45"/>
    <mergeCell ref="B41:D41"/>
    <mergeCell ref="A1:F1"/>
    <mergeCell ref="B40:D40"/>
    <mergeCell ref="B44:D44"/>
    <mergeCell ref="B43:D43"/>
    <mergeCell ref="B39:D39"/>
    <mergeCell ref="B38:D38"/>
  </mergeCells>
  <conditionalFormatting sqref="I13:I33">
    <cfRule type="cellIs" priority="1" operator="equal" dxfId="2">
      <formula>"Not Started"</formula>
    </cfRule>
    <cfRule type="cellIs" priority="2" operator="equal" dxfId="4">
      <formula>"In Progress"</formula>
    </cfRule>
    <cfRule type="cellIs" priority="3" operator="equal" dxfId="7">
      <formula>"Passed"</formula>
    </cfRule>
    <cfRule type="cellIs" priority="4" operator="equal" dxfId="5">
      <formula>"Failed"</formula>
    </cfRule>
    <cfRule type="cellIs" priority="5" operator="equal" dxfId="5">
      <formula>"Blocked"</formula>
    </cfRule>
  </conditionalFormatting>
  <dataValidations count="1">
    <dataValidation sqref="I13:I33" showDropDown="0" showInputMessage="0" showErrorMessage="0" allowBlank="0" type="list">
      <formula1>"Not Started,In Progress,Passed,Failed,Blocked"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55" customWidth="1" min="4" max="4"/>
    <col width="12" customWidth="1" min="5" max="5"/>
    <col width="12" customWidth="1" min="6" max="6"/>
    <col width="12" customWidth="1" min="7" max="7"/>
    <col width="12" customWidth="1" min="8" max="8"/>
    <col width="45" customWidth="1" min="9" max="9"/>
  </cols>
  <sheetData>
    <row r="1" ht="26" customHeight="1">
      <c r="A1" s="109" t="inlineStr">
        <is>
          <t>RBAC &amp; People Access — Product-Level Audit</t>
        </is>
      </c>
    </row>
    <row r="2" ht="32" customHeight="1">
      <c r="A2" s="110" t="inlineStr">
        <is>
          <t>Deep audit of who-can-do-what across DecisionOS. Written product-developer style: map the current model, catalog every gap that stops the product from being sold to a multi-employee SME, ship each gap as a tracked task with tests. Companion to Sprint 2 (which fixed tenancy plumbing); this tab covers the human-facing layer on top.</t>
        </is>
      </c>
    </row>
    <row r="4" ht="26" customHeight="1">
      <c r="A4" s="109" t="inlineStr">
        <is>
          <t>1. Current-state model — what exists TODAY (verified in code)</t>
        </is>
      </c>
    </row>
    <row r="6" ht="20" customHeight="1">
      <c r="A6" s="111" t="inlineStr">
        <is>
          <t>Core primitives (backend/core.py)</t>
        </is>
      </c>
    </row>
    <row r="7" ht="22" customHeight="1">
      <c r="A7" s="112" t="inlineStr">
        <is>
          <t>#</t>
        </is>
      </c>
      <c r="B7" s="112" t="inlineStr">
        <is>
          <t>Primitive</t>
        </is>
      </c>
      <c r="C7" s="112" t="inlineStr">
        <is>
          <t>What it does</t>
        </is>
      </c>
      <c r="D7" s="112" t="inlineStr">
        <is>
          <t>Evidence (file:line)</t>
        </is>
      </c>
      <c r="E7" s="112" t="inlineStr">
        <is>
          <t>Verdict</t>
        </is>
      </c>
      <c r="F7" s="112" t="inlineStr"/>
      <c r="G7" s="112" t="inlineStr"/>
      <c r="H7" s="112" t="inlineStr"/>
      <c r="I7" s="112" t="inlineStr">
        <is>
          <t>Notes</t>
        </is>
      </c>
    </row>
    <row r="8" ht="60" customHeight="1">
      <c r="A8" s="113" t="inlineStr">
        <is>
          <t>1</t>
        </is>
      </c>
      <c r="B8" s="113" t="inlineStr">
        <is>
          <t>require_role(*roles)</t>
        </is>
      </c>
      <c r="C8" s="113" t="inlineStr">
        <is>
          <t>FastAPI dependency; 403 unless user.role in roles.</t>
        </is>
      </c>
      <c r="D8" s="113" t="inlineStr">
        <is>
          <t>core.py:347</t>
        </is>
      </c>
      <c r="E8" s="114" t="inlineStr">
        <is>
          <t>OK</t>
        </is>
      </c>
      <c r="F8" s="113" t="inlineStr"/>
      <c r="G8" s="119" t="n"/>
      <c r="H8" s="120" t="n"/>
      <c r="I8" s="113" t="inlineStr">
        <is>
          <t>Simple, works. Only 8 endpoints use it.</t>
        </is>
      </c>
    </row>
    <row r="9" ht="60" customHeight="1">
      <c r="A9" s="113" t="inlineStr">
        <is>
          <t>2</t>
        </is>
      </c>
      <c r="B9" s="113" t="inlineStr">
        <is>
          <t>require_perm(perm)</t>
        </is>
      </c>
      <c r="C9" s="113" t="inlineStr">
        <is>
          <t>FastAPI dependency; 403 unless perm in user_perms(user).</t>
        </is>
      </c>
      <c r="D9" s="113" t="inlineStr">
        <is>
          <t>core.py:384</t>
        </is>
      </c>
      <c r="E9" s="114" t="inlineStr">
        <is>
          <t>OK</t>
        </is>
      </c>
      <c r="F9" s="113" t="inlineStr"/>
      <c r="G9" s="119" t="n"/>
      <c r="H9" s="120" t="n"/>
      <c r="I9" s="113" t="inlineStr">
        <is>
          <t>Only ~35 route uses; most endpoints use bare get_current_user.</t>
        </is>
      </c>
    </row>
    <row r="10" ht="60" customHeight="1">
      <c r="A10" s="113" t="inlineStr">
        <is>
          <t>3</t>
        </is>
      </c>
      <c r="B10" s="113" t="inlineStr">
        <is>
          <t>user_perms(user)</t>
        </is>
      </c>
      <c r="C10" s="113" t="inlineStr">
        <is>
          <t>Owner -&gt; ALL permission keys. Else user.permissions[] (if set) filtered to known keys. Else ROLE_DEFAULT_PERMS.get(role, _BASE_PERMS).</t>
        </is>
      </c>
      <c r="D10" s="113" t="inlineStr">
        <is>
          <t>core.py:364-370</t>
        </is>
      </c>
      <c r="E10" s="115" t="inlineStr">
        <is>
          <t>WEAK</t>
        </is>
      </c>
      <c r="F10" s="113" t="inlineStr"/>
      <c r="G10" s="119" t="n"/>
      <c r="H10" s="120" t="n"/>
      <c r="I10" s="113" t="inlineStr">
        <is>
          <t>Owner is a magic god-role. No way to say 'owner minus finance'.</t>
        </is>
      </c>
    </row>
    <row r="11" ht="60" customHeight="1">
      <c r="A11" s="113" t="inlineStr">
        <is>
          <t>4</t>
        </is>
      </c>
      <c r="B11" s="113" t="inlineStr">
        <is>
          <t>_BASE_PERMS</t>
        </is>
      </c>
      <c r="C11" s="113" t="inlineStr">
        <is>
          <t>{inbox, data_input, people, workflows, tasks, brain, ask} — 7 keys.</t>
        </is>
      </c>
      <c r="D11" s="113" t="inlineStr">
        <is>
          <t>core.py:357</t>
        </is>
      </c>
      <c r="E11" s="114" t="inlineStr">
        <is>
          <t>OK</t>
        </is>
      </c>
      <c r="F11" s="113" t="inlineStr"/>
      <c r="G11" s="119" t="n"/>
      <c r="H11" s="120" t="n"/>
      <c r="I11" s="113" t="inlineStr">
        <is>
          <t>Sane starter set.</t>
        </is>
      </c>
    </row>
    <row r="12" ht="60" customHeight="1">
      <c r="A12" s="113" t="inlineStr">
        <is>
          <t>5</t>
        </is>
      </c>
      <c r="B12" s="113" t="inlineStr">
        <is>
          <t>ROLE_DEFAULT_PERMS</t>
        </is>
      </c>
      <c r="C12" s="113" t="inlineStr">
        <is>
          <t>Maps only 'sales' -&gt; _BASE_PERMS and 'finance' -&gt; _BASE_PERMS | {finance, ledger}. No entry for 'production', 'operations', or any custom role — they all silently fall through to _BASE_PERMS.</t>
        </is>
      </c>
      <c r="D12" s="113" t="inlineStr">
        <is>
          <t>core.py:358-361</t>
        </is>
      </c>
      <c r="E12" s="116" t="inlineStr">
        <is>
          <t>GAP</t>
        </is>
      </c>
      <c r="F12" s="113" t="inlineStr"/>
      <c r="G12" s="119" t="n"/>
      <c r="H12" s="120" t="n"/>
      <c r="I12" s="113" t="inlineStr">
        <is>
          <t>Custom roles created via /tenant/roles have NO way to add perms without editing each user.</t>
        </is>
      </c>
    </row>
    <row r="13" ht="60" customHeight="1">
      <c r="A13" s="113" t="inlineStr">
        <is>
          <t>6</t>
        </is>
      </c>
      <c r="B13" s="113" t="inlineStr">
        <is>
          <t>PERMISSION_KEYS</t>
        </is>
      </c>
      <c r="C13" s="113" t="inlineStr">
        <is>
          <t>14 keys: inbox, voice_capture, data_input, people, finance, ledger, workflows, tasks, brain, ask, approvals, decisions_approve, leave_approve, team_manage.</t>
        </is>
      </c>
      <c r="D13" s="113" t="inlineStr">
        <is>
          <t>config.py:38-42</t>
        </is>
      </c>
      <c r="E13" s="114" t="inlineStr">
        <is>
          <t>OK</t>
        </is>
      </c>
      <c r="F13" s="113" t="inlineStr"/>
      <c r="G13" s="119" t="n"/>
      <c r="H13" s="120" t="n"/>
      <c r="I13" s="113" t="inlineStr">
        <is>
          <t>Reasonable granularity. But 'approvals', 'leave_approve', 'inbox', 'tasks', 'ledger' are unused as decorators.</t>
        </is>
      </c>
    </row>
    <row r="14" ht="60" customHeight="1">
      <c r="A14" s="113" t="inlineStr">
        <is>
          <t>7</t>
        </is>
      </c>
      <c r="B14" s="113" t="inlineStr">
        <is>
          <t>ROLES vs DEFAULT_ROLES</t>
        </is>
      </c>
      <c r="C14" s="113" t="inlineStr">
        <is>
          <t>config.ROLES = [owner, sales, production, finance]. DEFAULT_ROLES = [sales, operations, finance]. Mismatch: 'production' vs 'operations'.</t>
        </is>
      </c>
      <c r="D14" s="113" t="inlineStr">
        <is>
          <t>config.py:36, 44-48</t>
        </is>
      </c>
      <c r="E14" s="115" t="inlineStr">
        <is>
          <t>BUG</t>
        </is>
      </c>
      <c r="F14" s="113" t="inlineStr"/>
      <c r="G14" s="119" t="n"/>
      <c r="H14" s="120" t="n"/>
      <c r="I14" s="113" t="inlineStr">
        <is>
          <t>Silent inconsistency — tenants get 'operations' but permission logic expects 'production'.</t>
        </is>
      </c>
    </row>
    <row r="16" ht="20" customHeight="1">
      <c r="A16" s="111" t="inlineStr">
        <is>
          <t>Identity + membership model</t>
        </is>
      </c>
    </row>
    <row r="17" ht="22" customHeight="1">
      <c r="A17" s="112" t="inlineStr">
        <is>
          <t>#</t>
        </is>
      </c>
      <c r="B17" s="112" t="inlineStr">
        <is>
          <t>Aspect</t>
        </is>
      </c>
      <c r="C17" s="112" t="inlineStr">
        <is>
          <t>What exists</t>
        </is>
      </c>
      <c r="D17" s="112" t="inlineStr">
        <is>
          <t>Evidence</t>
        </is>
      </c>
      <c r="E17" s="112" t="inlineStr">
        <is>
          <t>Verdict</t>
        </is>
      </c>
      <c r="F17" s="112" t="inlineStr"/>
      <c r="G17" s="112" t="inlineStr"/>
      <c r="H17" s="112" t="inlineStr"/>
      <c r="I17" s="112" t="inlineStr">
        <is>
          <t>SaaS impact</t>
        </is>
      </c>
    </row>
    <row r="18" ht="68" customHeight="1">
      <c r="A18" s="113" t="inlineStr">
        <is>
          <t>1</t>
        </is>
      </c>
      <c r="B18" s="113" t="inlineStr">
        <is>
          <t>User-to-tenant link</t>
        </is>
      </c>
      <c r="C18" s="113" t="inlineStr">
        <is>
          <t>Single `tenant_id` field on user doc. No memberships collection.</t>
        </is>
      </c>
      <c r="D18" s="113" t="inlineStr">
        <is>
          <t>team.py:143</t>
        </is>
      </c>
      <c r="E18" s="116" t="inlineStr">
        <is>
          <t>GAP</t>
        </is>
      </c>
      <c r="F18" s="113" t="inlineStr"/>
      <c r="G18" s="119" t="n"/>
      <c r="H18" s="120" t="n"/>
      <c r="I18" s="113" t="inlineStr">
        <is>
          <t>One user = one workspace. Accountants/consultants who serve multiple SMEs cannot exist as a single user account — must register N times with N emails.</t>
        </is>
      </c>
    </row>
    <row r="19" ht="68" customHeight="1">
      <c r="A19" s="113" t="inlineStr">
        <is>
          <t>2</t>
        </is>
      </c>
      <c r="B19" s="113" t="inlineStr">
        <is>
          <t>Email uniqueness</t>
        </is>
      </c>
      <c r="C19" s="113" t="inlineStr">
        <is>
          <t>Globally unique — find_one({'email': email}) with no tenant_id in the check.</t>
        </is>
      </c>
      <c r="D19" s="113" t="inlineStr">
        <is>
          <t>team.py:122, auth.py:136, signup.py:106</t>
        </is>
      </c>
      <c r="E19" s="116" t="inlineStr">
        <is>
          <t>GAP</t>
        </is>
      </c>
      <c r="F19" s="113" t="inlineStr"/>
      <c r="G19" s="119" t="n"/>
      <c r="H19" s="120" t="n"/>
      <c r="I19" s="113" t="inlineStr">
        <is>
          <t>Blocks multi-tenant membership. Same anti-pattern we JUST fixed for phones (FIX-003-A). Email needs the same treatment.</t>
        </is>
      </c>
    </row>
    <row r="20" ht="68" customHeight="1">
      <c r="A20" s="113" t="inlineStr">
        <is>
          <t>3</t>
        </is>
      </c>
      <c r="B20" s="113" t="inlineStr">
        <is>
          <t>Passwordless (OTP-only) users</t>
        </is>
      </c>
      <c r="C20" s="113" t="inlineStr">
        <is>
          <t>Empty password -&gt; random hash + passwordless=True; phone &gt;= 10 digits required; OTP-only login enforced downstream.</t>
        </is>
      </c>
      <c r="D20" s="113" t="inlineStr">
        <is>
          <t>team.py:126-136, auth.py:398/487/525</t>
        </is>
      </c>
      <c r="E20" s="114" t="inlineStr">
        <is>
          <t>OK</t>
        </is>
      </c>
      <c r="F20" s="113" t="inlineStr"/>
      <c r="G20" s="119" t="n"/>
      <c r="H20" s="120" t="n"/>
      <c r="I20" s="113" t="inlineStr">
        <is>
          <t>Good for field employees without email discipline.</t>
        </is>
      </c>
    </row>
    <row r="21" ht="68" customHeight="1">
      <c r="A21" s="113" t="inlineStr">
        <is>
          <t>4</t>
        </is>
      </c>
      <c r="B21" s="113" t="inlineStr">
        <is>
          <t>Invite tokens</t>
        </is>
      </c>
      <c r="C21" s="113" t="inlineStr">
        <is>
          <t>invite_token + invite_expires_at (+7d) written on user creation if phone given; regeneration endpoint.</t>
        </is>
      </c>
      <c r="D21" s="113" t="inlineStr">
        <is>
          <t>team.py:154-157, 169</t>
        </is>
      </c>
      <c r="E21" s="114" t="inlineStr">
        <is>
          <t>OK</t>
        </is>
      </c>
      <c r="F21" s="113" t="inlineStr"/>
      <c r="G21" s="119" t="n"/>
      <c r="H21" s="120" t="n"/>
      <c r="I21" s="113" t="inlineStr">
        <is>
          <t>But: no 'accepted' vs 'pending' state tracking, and invited users are already listed in /users same as active ones (no visible pending state to admin).</t>
        </is>
      </c>
    </row>
    <row r="22" ht="68" customHeight="1">
      <c r="A22" s="113" t="inlineStr">
        <is>
          <t>5</t>
        </is>
      </c>
      <c r="B22" s="113" t="inlineStr">
        <is>
          <t>Suspension flags</t>
        </is>
      </c>
      <c r="C22" s="113" t="inlineStr">
        <is>
          <t>user.suspended + tenant_suspended; both checked in get_current_user -&gt; 403.</t>
        </is>
      </c>
      <c r="D22" s="113" t="inlineStr">
        <is>
          <t>core.py:341-342</t>
        </is>
      </c>
      <c r="E22" s="114" t="inlineStr">
        <is>
          <t>OK</t>
        </is>
      </c>
      <c r="F22" s="113" t="inlineStr"/>
      <c r="G22" s="119" t="n"/>
      <c r="H22" s="120" t="n"/>
      <c r="I22" s="113" t="inlineStr">
        <is>
          <t>But there's no session revocation on suspend — the token stays cryptographically valid until it expires (though get_current_user WILL 403 next request). Combine with FIX-003-C's jti revocation.</t>
        </is>
      </c>
    </row>
    <row r="23" ht="68" customHeight="1">
      <c r="A23" s="113" t="inlineStr">
        <is>
          <t>6</t>
        </is>
      </c>
      <c r="B23" s="113" t="inlineStr">
        <is>
          <t>Platform admin</t>
        </is>
      </c>
      <c r="C23" s="113" t="inlineStr">
        <is>
          <t>Completely separate auth system (platform_admins collection, separate JWT type, cookie name).</t>
        </is>
      </c>
      <c r="D23" s="113" t="inlineStr">
        <is>
          <t>core.py:240-277, admin.py</t>
        </is>
      </c>
      <c r="E23" s="114" t="inlineStr">
        <is>
          <t>OK</t>
        </is>
      </c>
      <c r="F23" s="113" t="inlineStr"/>
      <c r="G23" s="119" t="n"/>
      <c r="H23" s="120" t="n"/>
      <c r="I23" s="113" t="inlineStr">
        <is>
          <t>Good separation. But: platform admins can do cross-tenant reclassify/delete — no super-audit trail visible.</t>
        </is>
      </c>
    </row>
    <row r="25" ht="20" customHeight="1">
      <c r="A25" s="111" t="inlineStr">
        <is>
          <t>Tenant-level custom roles</t>
        </is>
      </c>
    </row>
    <row r="26" ht="22" customHeight="1">
      <c r="A26" s="112" t="inlineStr">
        <is>
          <t>#</t>
        </is>
      </c>
      <c r="B26" s="112" t="inlineStr">
        <is>
          <t>Aspect</t>
        </is>
      </c>
      <c r="C26" s="112" t="inlineStr">
        <is>
          <t>What exists</t>
        </is>
      </c>
      <c r="D26" s="112" t="inlineStr">
        <is>
          <t>Evidence</t>
        </is>
      </c>
      <c r="E26" s="112" t="inlineStr">
        <is>
          <t>Verdict</t>
        </is>
      </c>
      <c r="F26" s="112" t="inlineStr"/>
      <c r="G26" s="112" t="inlineStr"/>
      <c r="H26" s="112" t="inlineStr"/>
      <c r="I26" s="112" t="inlineStr">
        <is>
          <t>SaaS impact</t>
        </is>
      </c>
    </row>
    <row r="27" ht="64" customHeight="1">
      <c r="A27" s="113" t="inlineStr">
        <is>
          <t>1</t>
        </is>
      </c>
      <c r="B27" s="113" t="inlineStr">
        <is>
          <t>Custom role CRUD</t>
        </is>
      </c>
      <c r="C27" s="113" t="inlineStr">
        <is>
          <t>POST/rename/DELETE roles per tenant via /api/tenant/roles. Structure {key, label}. 'owner' key reserved. delete_role blocks if users still assigned.</t>
        </is>
      </c>
      <c r="D27" s="113" t="inlineStr">
        <is>
          <t>server.py:1759 (add), 1775 (rename), 1794 (delete)</t>
        </is>
      </c>
      <c r="E27" s="114" t="inlineStr">
        <is>
          <t>OK</t>
        </is>
      </c>
      <c r="F27" s="113" t="inlineStr"/>
      <c r="G27" s="119" t="n"/>
      <c r="H27" s="120" t="n"/>
      <c r="I27" s="113" t="inlineStr">
        <is>
          <t>Good baseline.</t>
        </is>
      </c>
    </row>
    <row r="28" ht="64" customHeight="1">
      <c r="A28" s="113" t="inlineStr">
        <is>
          <t>2</t>
        </is>
      </c>
      <c r="B28" s="113" t="inlineStr">
        <is>
          <t>Per-role permission map</t>
        </is>
      </c>
      <c r="C28" s="113" t="inlineStr">
        <is>
          <t>NONE. Custom roles get whatever ROLE_DEFAULT_PERMS.get(key) returns (miss -&gt; _BASE_PERMS).</t>
        </is>
      </c>
      <c r="D28" s="113" t="inlineStr">
        <is>
          <t>core.py:369</t>
        </is>
      </c>
      <c r="E28" s="116" t="inlineStr">
        <is>
          <t>GAP</t>
        </is>
      </c>
      <c r="F28" s="113" t="inlineStr"/>
      <c r="G28" s="119" t="n"/>
      <c r="H28" s="120" t="n"/>
      <c r="I28" s="113" t="inlineStr">
        <is>
          <t>Creating a 'warehouse_manager' role and expecting it to see finance requires editing EACH user's permissions[] override. No way to say 'this ROLE always gets finance perm'.</t>
        </is>
      </c>
    </row>
    <row r="29" ht="64" customHeight="1">
      <c r="A29" s="113" t="inlineStr">
        <is>
          <t>3</t>
        </is>
      </c>
      <c r="B29" s="113" t="inlineStr">
        <is>
          <t>Per-user permission override</t>
        </is>
      </c>
      <c r="C29" s="113" t="inlineStr">
        <is>
          <t>user.permissions[] takes precedence over role defaults. clean_perms filters to known keys.</t>
        </is>
      </c>
      <c r="D29" s="113" t="inlineStr">
        <is>
          <t>core.py:365-370, 373-381</t>
        </is>
      </c>
      <c r="E29" s="114" t="inlineStr">
        <is>
          <t>OK</t>
        </is>
      </c>
      <c r="F29" s="113" t="inlineStr"/>
      <c r="G29" s="119" t="n"/>
      <c r="H29" s="120" t="n"/>
      <c r="I29" s="113" t="inlineStr">
        <is>
          <t>Fine as an escape hatch, but shouldn't be the ONLY way to grant a permission.</t>
        </is>
      </c>
    </row>
    <row r="31" ht="26" customHeight="1">
      <c r="A31" s="109" t="inlineStr">
        <is>
          <t>2. Gap findings — ranked by severity</t>
        </is>
      </c>
    </row>
    <row r="32" ht="32" customHeight="1">
      <c r="A32" s="110" t="inlineStr">
        <is>
          <t>Endpoint enforcement + data-model gaps that would embarrass us with a multi-employee SME customer.</t>
        </is>
      </c>
    </row>
    <row r="34" ht="20" customHeight="1">
      <c r="A34" s="111" t="inlineStr">
        <is>
          <t>A. Endpoint enforcement gaps (from 211-endpoint sweep)</t>
        </is>
      </c>
    </row>
    <row r="35" ht="22" customHeight="1">
      <c r="A35" s="112" t="inlineStr">
        <is>
          <t>#</t>
        </is>
      </c>
      <c r="B35" s="112" t="inlineStr">
        <is>
          <t>Severity</t>
        </is>
      </c>
      <c r="C35" s="112" t="inlineStr">
        <is>
          <t>Endpoint / area</t>
        </is>
      </c>
      <c r="D35" s="112" t="inlineStr">
        <is>
          <t>Current gate</t>
        </is>
      </c>
      <c r="E35" s="112" t="inlineStr">
        <is>
          <t>Why it's bad</t>
        </is>
      </c>
      <c r="F35" s="112" t="inlineStr"/>
      <c r="G35" s="112" t="inlineStr"/>
      <c r="H35" s="112" t="inlineStr">
        <is>
          <t>Evidence</t>
        </is>
      </c>
      <c r="I35" s="112" t="inlineStr">
        <is>
          <t>Fix task</t>
        </is>
      </c>
    </row>
    <row r="36" ht="60" customHeight="1">
      <c r="A36" s="113" t="inlineStr">
        <is>
          <t>A1</t>
        </is>
      </c>
      <c r="B36" s="116" t="inlineStr">
        <is>
          <t>P0</t>
        </is>
      </c>
      <c r="C36" s="113" t="inlineStr">
        <is>
          <t>GET /onboarding/draft/{draft_id} + PATCH</t>
        </is>
      </c>
      <c r="D36" s="113" t="inlineStr">
        <is>
          <t>Public — no auth</t>
        </is>
      </c>
      <c r="E36" s="113" t="inlineStr">
        <is>
          <t>Any client can guess a draft ID and read/write another founder's onboarding data (industry, description, roles, phone). draft_id is a UUID but there's zero enumeration protection.</t>
        </is>
      </c>
      <c r="F36" s="119" t="n"/>
      <c r="G36" s="120" t="n"/>
      <c r="H36" s="113" t="inlineStr">
        <is>
          <t>onboarding.py:146, 156</t>
        </is>
      </c>
      <c r="I36" s="113" t="inlineStr">
        <is>
          <t>RBAC-01</t>
        </is>
      </c>
    </row>
    <row r="37" ht="60" customHeight="1">
      <c r="A37" s="113" t="inlineStr">
        <is>
          <t>A2</t>
        </is>
      </c>
      <c r="B37" s="116" t="inlineStr">
        <is>
          <t>P0</t>
        </is>
      </c>
      <c r="C37" s="113" t="inlineStr">
        <is>
          <t>POST /register</t>
        </is>
      </c>
      <c r="D37" s="113" t="inlineStr">
        <is>
          <t>Public, no CAPTCHA</t>
        </is>
      </c>
      <c r="E37" s="113" t="inlineStr">
        <is>
          <t>Anyone can spin up unlimited tenants. AI credit burn + storage cost + noisy dashboard.</t>
        </is>
      </c>
      <c r="F37" s="119" t="n"/>
      <c r="G37" s="120" t="n"/>
      <c r="H37" s="113" t="inlineStr">
        <is>
          <t>auth.py:96</t>
        </is>
      </c>
      <c r="I37" s="113" t="inlineStr">
        <is>
          <t>RBAC-02</t>
        </is>
      </c>
    </row>
    <row r="38" ht="60" customHeight="1">
      <c r="A38" s="113" t="inlineStr">
        <is>
          <t>A3</t>
        </is>
      </c>
      <c r="B38" s="116" t="inlineStr">
        <is>
          <t>P0</t>
        </is>
      </c>
      <c r="C38" s="113" t="inlineStr">
        <is>
          <t>POST /website-intel + /signup/tts + /signup/stt</t>
        </is>
      </c>
      <c r="D38" s="113" t="inlineStr">
        <is>
          <t>Public</t>
        </is>
      </c>
      <c r="E38" s="113" t="inlineStr">
        <is>
          <t>Server-side URL fetch (SSRF potential) + unauthenticated AI calls burning credits. Any attacker can drain quota.</t>
        </is>
      </c>
      <c r="F38" s="119" t="n"/>
      <c r="G38" s="120" t="n"/>
      <c r="H38" s="113" t="inlineStr">
        <is>
          <t>signup.py:125, tts, stt</t>
        </is>
      </c>
      <c r="I38" s="113" t="inlineStr">
        <is>
          <t>RBAC-03</t>
        </is>
      </c>
    </row>
    <row r="39" ht="60" customHeight="1">
      <c r="A39" s="113" t="inlineStr">
        <is>
          <t>A4</t>
        </is>
      </c>
      <c r="B39" s="115" t="inlineStr">
        <is>
          <t>P1</t>
        </is>
      </c>
      <c r="C39" s="113" t="inlineStr">
        <is>
          <t>POST /workflows (create)</t>
        </is>
      </c>
      <c r="D39" s="113" t="inlineStr">
        <is>
          <t>Auth-only</t>
        </is>
      </c>
      <c r="E39" s="113" t="inlineStr">
        <is>
          <t>Any employee can create workflows. But DELETE /workflows/{id} requires owner. Asymmetric.</t>
        </is>
      </c>
      <c r="F39" s="119" t="n"/>
      <c r="G39" s="120" t="n"/>
      <c r="H39" s="113" t="inlineStr">
        <is>
          <t>server.py:2484 vs 2596</t>
        </is>
      </c>
      <c r="I39" s="113" t="inlineStr">
        <is>
          <t>RBAC-04</t>
        </is>
      </c>
    </row>
    <row r="40" ht="60" customHeight="1">
      <c r="A40" s="113" t="inlineStr">
        <is>
          <t>A5</t>
        </is>
      </c>
      <c r="B40" s="115" t="inlineStr">
        <is>
          <t>P1</t>
        </is>
      </c>
      <c r="C40" s="113" t="inlineStr">
        <is>
          <t>POST /captures/{cid}/approve|reject|reassign|patch</t>
        </is>
      </c>
      <c r="D40" s="113" t="inlineStr">
        <is>
          <t>Auth-only</t>
        </is>
      </c>
      <c r="E40" s="113" t="inlineStr">
        <is>
          <t>Approving a captured draft turns it into real workflow/task data. Should be role/perm-gated.</t>
        </is>
      </c>
      <c r="F40" s="119" t="n"/>
      <c r="G40" s="120" t="n"/>
      <c r="H40" s="113" t="inlineStr">
        <is>
          <t>server.py:5167-5211</t>
        </is>
      </c>
      <c r="I40" s="113" t="inlineStr">
        <is>
          <t>RBAC-05</t>
        </is>
      </c>
    </row>
    <row r="41" ht="60" customHeight="1">
      <c r="A41" s="113" t="inlineStr">
        <is>
          <t>A6</t>
        </is>
      </c>
      <c r="B41" s="115" t="inlineStr">
        <is>
          <t>P1</t>
        </is>
      </c>
      <c r="C41" s="113" t="inlineStr">
        <is>
          <t>POST /follow-up/run</t>
        </is>
      </c>
      <c r="D41" s="113" t="inlineStr">
        <is>
          <t>Auth-only</t>
        </is>
      </c>
      <c r="E41" s="113" t="inlineStr">
        <is>
          <t>Any employee can trigger a full tenant follow-up sweep (LLM cost, notification spam).</t>
        </is>
      </c>
      <c r="F41" s="119" t="n"/>
      <c r="G41" s="120" t="n"/>
      <c r="H41" s="113" t="inlineStr">
        <is>
          <t>server.py:3205</t>
        </is>
      </c>
      <c r="I41" s="113" t="inlineStr">
        <is>
          <t>RBAC-06</t>
        </is>
      </c>
    </row>
    <row r="42" ht="60" customHeight="1">
      <c r="A42" s="113" t="inlineStr">
        <is>
          <t>A7</t>
        </is>
      </c>
      <c r="B42" s="115" t="inlineStr">
        <is>
          <t>P1</t>
        </is>
      </c>
      <c r="C42" s="113" t="inlineStr">
        <is>
          <t>17/17 endpoints in routers/tasks.py</t>
        </is>
      </c>
      <c r="D42" s="113" t="inlineStr">
        <is>
          <t>Auth-only</t>
        </is>
      </c>
      <c r="E42" s="113" t="inlineStr">
        <is>
          <t>Reassign, DELETE execution-plan, prioritize (LLM), bulk delete — all open to every logged-in user. Inline `role!=owner` check only on /tasks/{id} DELETE.</t>
        </is>
      </c>
      <c r="F42" s="119" t="n"/>
      <c r="G42" s="120" t="n"/>
      <c r="H42" s="113" t="inlineStr">
        <is>
          <t>tasks.py all</t>
        </is>
      </c>
      <c r="I42" s="113" t="inlineStr">
        <is>
          <t>RBAC-07</t>
        </is>
      </c>
    </row>
    <row r="43" ht="60" customHeight="1">
      <c r="A43" s="113" t="inlineStr">
        <is>
          <t>A8</t>
        </is>
      </c>
      <c r="B43" s="115" t="inlineStr">
        <is>
          <t>P1</t>
        </is>
      </c>
      <c r="C43" s="113" t="inlineStr">
        <is>
          <t>POST /voice-notes text/audio + /meetings audio</t>
        </is>
      </c>
      <c r="D43" s="113" t="inlineStr">
        <is>
          <t>Auth-only</t>
        </is>
      </c>
      <c r="E43" s="113" t="inlineStr">
        <is>
          <t>Every employee can burn STT/LLM credits without any quota. Voice notes attach to any task by id.</t>
        </is>
      </c>
      <c r="F43" s="119" t="n"/>
      <c r="G43" s="120" t="n"/>
      <c r="H43" s="113" t="inlineStr">
        <is>
          <t>server.py:2141, 2161</t>
        </is>
      </c>
      <c r="I43" s="113" t="inlineStr">
        <is>
          <t>RBAC-08</t>
        </is>
      </c>
    </row>
    <row r="44" ht="60" customHeight="1">
      <c r="A44" s="113" t="inlineStr">
        <is>
          <t>A9</t>
        </is>
      </c>
      <c r="B44" s="115" t="inlineStr">
        <is>
          <t>P1</t>
        </is>
      </c>
      <c r="C44" s="113" t="inlineStr">
        <is>
          <t>POST /leaves/{id}/approve|reject|request-info</t>
        </is>
      </c>
      <c r="D44" s="113" t="inlineStr">
        <is>
          <t>Auth-only + inline helper</t>
        </is>
      </c>
      <c r="E44" s="113" t="inlineStr">
        <is>
          <t>Decorator gives no auth signal at endpoint level — reviewers reading the route can't tell what's gated. Move to require_perm('leave_approve').</t>
        </is>
      </c>
      <c r="F44" s="119" t="n"/>
      <c r="G44" s="120" t="n"/>
      <c r="H44" s="113" t="inlineStr">
        <is>
          <t>team.py:322, 328, 335</t>
        </is>
      </c>
      <c r="I44" s="113" t="inlineStr">
        <is>
          <t>RBAC-09</t>
        </is>
      </c>
    </row>
    <row r="45" ht="60" customHeight="1">
      <c r="A45" s="113" t="inlineStr">
        <is>
          <t>A10</t>
        </is>
      </c>
      <c r="B45" s="114" t="inlineStr">
        <is>
          <t>P2</t>
        </is>
      </c>
      <c r="C45" s="113" t="inlineStr">
        <is>
          <t>POST /brain/export</t>
        </is>
      </c>
      <c r="D45" s="113" t="inlineStr">
        <is>
          <t>perm(ask)</t>
        </is>
      </c>
      <c r="E45" s="113" t="inlineStr">
        <is>
          <t>'ask' is the QUERY permission. Export = bulk data extraction, higher privilege.</t>
        </is>
      </c>
      <c r="F45" s="119" t="n"/>
      <c r="G45" s="120" t="n"/>
      <c r="H45" s="113" t="inlineStr">
        <is>
          <t>brain.py:64</t>
        </is>
      </c>
      <c r="I45" s="113" t="inlineStr">
        <is>
          <t>RBAC-10</t>
        </is>
      </c>
    </row>
    <row r="46" ht="60" customHeight="1">
      <c r="A46" s="113" t="inlineStr">
        <is>
          <t>A11</t>
        </is>
      </c>
      <c r="B46" s="114" t="inlineStr">
        <is>
          <t>P2</t>
        </is>
      </c>
      <c r="C46" s="113" t="inlineStr">
        <is>
          <t>POST /memory (create)</t>
        </is>
      </c>
      <c r="D46" s="113" t="inlineStr">
        <is>
          <t>Auth-only</t>
        </is>
      </c>
      <c r="E46" s="113" t="inlineStr">
        <is>
          <t>Any employee can insert into shared tenant memory. No 'memory_write' permission.</t>
        </is>
      </c>
      <c r="F46" s="119" t="n"/>
      <c r="G46" s="120" t="n"/>
      <c r="H46" s="113" t="inlineStr">
        <is>
          <t>server.py:3264</t>
        </is>
      </c>
      <c r="I46" s="113" t="inlineStr">
        <is>
          <t>RBAC-11</t>
        </is>
      </c>
    </row>
    <row r="48" ht="20" customHeight="1">
      <c r="A48" s="111" t="inlineStr">
        <is>
          <t>B. Data-model gaps (multi-workspace membership + role granularity)</t>
        </is>
      </c>
    </row>
    <row r="49" ht="22" customHeight="1">
      <c r="A49" s="112" t="inlineStr">
        <is>
          <t>#</t>
        </is>
      </c>
      <c r="B49" s="112" t="inlineStr">
        <is>
          <t>Severity</t>
        </is>
      </c>
      <c r="C49" s="112" t="inlineStr">
        <is>
          <t>Finding</t>
        </is>
      </c>
      <c r="D49" s="112" t="inlineStr">
        <is>
          <t>Current behavior</t>
        </is>
      </c>
      <c r="E49" s="112" t="inlineStr">
        <is>
          <t>Product impact</t>
        </is>
      </c>
      <c r="F49" s="112" t="inlineStr"/>
      <c r="G49" s="112" t="inlineStr"/>
      <c r="H49" s="112" t="inlineStr">
        <is>
          <t>Evidence</t>
        </is>
      </c>
      <c r="I49" s="112" t="inlineStr">
        <is>
          <t>Fix task</t>
        </is>
      </c>
    </row>
    <row r="50" ht="68" customHeight="1">
      <c r="A50" s="113" t="inlineStr">
        <is>
          <t>B1</t>
        </is>
      </c>
      <c r="B50" s="116" t="inlineStr">
        <is>
          <t>P0</t>
        </is>
      </c>
      <c r="C50" s="113" t="inlineStr">
        <is>
          <t>One email = one workspace</t>
        </is>
      </c>
      <c r="D50" s="113" t="inlineStr">
        <is>
          <t>users.email is globally unique.</t>
        </is>
      </c>
      <c r="E50" s="113" t="inlineStr">
        <is>
          <t>An accountant serving 5 SMEs must register 5 emails. Founders switching between their bakery + consulting workspace must log out/in. Standard SaaS SME buyers reject this.</t>
        </is>
      </c>
      <c r="F50" s="119" t="n"/>
      <c r="G50" s="120" t="n"/>
      <c r="H50" s="113" t="inlineStr">
        <is>
          <t>team.py:122, auth.py:136</t>
        </is>
      </c>
      <c r="I50" s="113" t="inlineStr">
        <is>
          <t>RBAC-12</t>
        </is>
      </c>
    </row>
    <row r="51" ht="68" customHeight="1">
      <c r="A51" s="113" t="inlineStr">
        <is>
          <t>B2</t>
        </is>
      </c>
      <c r="B51" s="116" t="inlineStr">
        <is>
          <t>P0</t>
        </is>
      </c>
      <c r="C51" s="113" t="inlineStr">
        <is>
          <t>No memberships table</t>
        </is>
      </c>
      <c r="D51" s="113" t="inlineStr">
        <is>
          <t>user.tenant_id is a single foreign key.</t>
        </is>
      </c>
      <c r="E51" s="113" t="inlineStr">
        <is>
          <t>Blocks (B1) permanently. Cannot model 'is member of Tenant A as employee + Tenant B as owner'. Every fix downstream (invite, delete, list users) must be rewritten later — cheaper to do now.</t>
        </is>
      </c>
      <c r="F51" s="119" t="n"/>
      <c r="G51" s="120" t="n"/>
      <c r="H51" s="113" t="inlineStr">
        <is>
          <t>team.py:143 + all users.find_one users</t>
        </is>
      </c>
      <c r="I51" s="113" t="inlineStr">
        <is>
          <t>RBAC-13</t>
        </is>
      </c>
    </row>
    <row r="52" ht="68" customHeight="1">
      <c r="A52" s="113" t="inlineStr">
        <is>
          <t>B3</t>
        </is>
      </c>
      <c r="B52" s="115" t="inlineStr">
        <is>
          <t>P1</t>
        </is>
      </c>
      <c r="C52" s="113" t="inlineStr">
        <is>
          <t>Custom roles cannot have permissions</t>
        </is>
      </c>
      <c r="D52" s="113" t="inlineStr">
        <is>
          <t>ROLE_DEFAULT_PERMS is hardcoded to sales + finance only.</t>
        </is>
      </c>
      <c r="E52" s="113" t="inlineStr">
        <is>
          <t>Founder creates 'warehouse_manager' role, must then edit each user's permissions[] individually. Role loses its meaning as a policy unit.</t>
        </is>
      </c>
      <c r="F52" s="119" t="n"/>
      <c r="G52" s="120" t="n"/>
      <c r="H52" s="113" t="inlineStr">
        <is>
          <t>core.py:358-361</t>
        </is>
      </c>
      <c r="I52" s="113" t="inlineStr">
        <is>
          <t>RBAC-14</t>
        </is>
      </c>
    </row>
    <row r="53" ht="68" customHeight="1">
      <c r="A53" s="113" t="inlineStr">
        <is>
          <t>B4</t>
        </is>
      </c>
      <c r="B53" s="115" t="inlineStr">
        <is>
          <t>P1</t>
        </is>
      </c>
      <c r="C53" s="113" t="inlineStr">
        <is>
          <t>Owner is a magic god-role</t>
        </is>
      </c>
      <c r="D53" s="113" t="inlineStr">
        <is>
          <t>user_perms shortcuts owner to ALL permission keys.</t>
        </is>
      </c>
      <c r="E53" s="113" t="inlineStr">
        <is>
          <t>Cannot have 'Co-founder with everything EXCEPT finance visibility' — a common early-stage founder ask. No 'break-glass' pattern (grant admin temporarily, log it).</t>
        </is>
      </c>
      <c r="F53" s="119" t="n"/>
      <c r="G53" s="120" t="n"/>
      <c r="H53" s="113" t="inlineStr">
        <is>
          <t>core.py:365</t>
        </is>
      </c>
      <c r="I53" s="113" t="inlineStr">
        <is>
          <t>RBAC-15</t>
        </is>
      </c>
    </row>
    <row r="54" ht="68" customHeight="1">
      <c r="A54" s="113" t="inlineStr">
        <is>
          <t>B5</t>
        </is>
      </c>
      <c r="B54" s="115" t="inlineStr">
        <is>
          <t>P1</t>
        </is>
      </c>
      <c r="C54" s="113" t="inlineStr">
        <is>
          <t>config.ROLES / DEFAULT_ROLES mismatch</t>
        </is>
      </c>
      <c r="D54" s="113" t="inlineStr">
        <is>
          <t>'production' in ROLES, 'operations' in DEFAULT_ROLES.</t>
        </is>
      </c>
      <c r="E54" s="113" t="inlineStr">
        <is>
          <t>Any code that switches on ROLES silently misses tenants who got 'operations' as a default role.</t>
        </is>
      </c>
      <c r="F54" s="119" t="n"/>
      <c r="G54" s="120" t="n"/>
      <c r="H54" s="113" t="inlineStr">
        <is>
          <t>config.py:36 vs 44-48</t>
        </is>
      </c>
      <c r="I54" s="113" t="inlineStr">
        <is>
          <t>RBAC-16</t>
        </is>
      </c>
    </row>
    <row r="55" ht="68" customHeight="1">
      <c r="A55" s="113" t="inlineStr">
        <is>
          <t>B6</t>
        </is>
      </c>
      <c r="B55" s="115" t="inlineStr">
        <is>
          <t>P1</t>
        </is>
      </c>
      <c r="C55" s="113" t="inlineStr">
        <is>
          <t>No pending vs accepted invite state</t>
        </is>
      </c>
      <c r="D55" s="113" t="inlineStr">
        <is>
          <t>invite_token exists but /users returns invited users same as active. No 'pending_invite' flag on the user.</t>
        </is>
      </c>
      <c r="E55" s="113" t="inlineStr">
        <is>
          <t>Admin cannot see 'you invited 3 people, 1 has accepted, 2 are pending'. Also blocks off-boarding: cannot uninvite before accept.</t>
        </is>
      </c>
      <c r="F55" s="119" t="n"/>
      <c r="G55" s="120" t="n"/>
      <c r="H55" s="113" t="inlineStr">
        <is>
          <t>team.py:158-165, GET /users</t>
        </is>
      </c>
      <c r="I55" s="113" t="inlineStr">
        <is>
          <t>RBAC-17</t>
        </is>
      </c>
    </row>
    <row r="56" ht="68" customHeight="1">
      <c r="A56" s="113" t="inlineStr">
        <is>
          <t>B7</t>
        </is>
      </c>
      <c r="B56" s="114" t="inlineStr">
        <is>
          <t>P2</t>
        </is>
      </c>
      <c r="C56" s="113" t="inlineStr">
        <is>
          <t>No department / branch scope</t>
        </is>
      </c>
      <c r="D56" s="113" t="inlineStr">
        <is>
          <t>A Finance Manager in Store A sees Store B's data.</t>
        </is>
      </c>
      <c r="E56" s="113" t="inlineStr">
        <is>
          <t>Multi-branch SMEs are common in India (kirana chains, salon franchises). Blocks selling to any tenant with &gt;1 physical location.</t>
        </is>
      </c>
      <c r="F56" s="119" t="n"/>
      <c r="G56" s="120" t="n"/>
      <c r="H56" s="113" t="inlineStr">
        <is>
          <t>N/A (missing entirely)</t>
        </is>
      </c>
      <c r="I56" s="113" t="inlineStr">
        <is>
          <t>RBAC-18</t>
        </is>
      </c>
    </row>
    <row r="57" ht="68" customHeight="1">
      <c r="A57" s="113" t="inlineStr">
        <is>
          <t>B8</t>
        </is>
      </c>
      <c r="B57" s="114" t="inlineStr">
        <is>
          <t>P2</t>
        </is>
      </c>
      <c r="C57" s="113" t="inlineStr">
        <is>
          <t>No user groups</t>
        </is>
      </c>
      <c r="D57" s="113" t="inlineStr">
        <is>
          <t>Permissions attach only to (role) + (user override).</t>
        </is>
      </c>
      <c r="E57" s="113" t="inlineStr">
        <is>
          <t>Cannot say 'all Regional Managers get inventory perm' — must edit 12 individual users.</t>
        </is>
      </c>
      <c r="F57" s="119" t="n"/>
      <c r="G57" s="120" t="n"/>
      <c r="H57" s="113" t="inlineStr">
        <is>
          <t>N/A (missing entirely)</t>
        </is>
      </c>
      <c r="I57" s="113" t="inlineStr">
        <is>
          <t>RBAC-19</t>
        </is>
      </c>
    </row>
    <row r="59" ht="20" customHeight="1">
      <c r="A59" s="111" t="inlineStr">
        <is>
          <t>C. Missing SaaS RBAC surface area (product-developer view)</t>
        </is>
      </c>
    </row>
    <row r="60" ht="22" customHeight="1">
      <c r="A60" s="112" t="inlineStr">
        <is>
          <t>#</t>
        </is>
      </c>
      <c r="B60" s="112" t="inlineStr">
        <is>
          <t>Severity</t>
        </is>
      </c>
      <c r="C60" s="112" t="inlineStr">
        <is>
          <t>Missing capability</t>
        </is>
      </c>
      <c r="D60" s="112" t="inlineStr">
        <is>
          <t>Why an SME buyer expects it</t>
        </is>
      </c>
      <c r="E60" s="112" t="inlineStr"/>
      <c r="F60" s="112" t="inlineStr"/>
      <c r="G60" s="112" t="inlineStr"/>
      <c r="H60" s="112" t="inlineStr">
        <is>
          <t>Precedent</t>
        </is>
      </c>
      <c r="I60" s="112" t="inlineStr">
        <is>
          <t>Fix task</t>
        </is>
      </c>
    </row>
    <row r="61" ht="72" customHeight="1">
      <c r="A61" s="113" t="inlineStr">
        <is>
          <t>C1</t>
        </is>
      </c>
      <c r="B61" s="116" t="inlineStr">
        <is>
          <t>P0</t>
        </is>
      </c>
      <c r="C61" s="113" t="inlineStr">
        <is>
          <t>Immutable audit log (who-did-what)</t>
        </is>
      </c>
      <c r="D61" s="113" t="inlineStr">
        <is>
          <t>SOC2/DPDP/GDPR compliance + 'who deleted this decision?' operational forensics. Today log_activity is human-readable free text, not queryable, and can be deleted with a normal update.</t>
        </is>
      </c>
      <c r="E61" s="119" t="n"/>
      <c r="F61" s="119" t="n"/>
      <c r="G61" s="120" t="n"/>
      <c r="H61" s="113" t="inlineStr">
        <is>
          <t>Standard in QuickBooks / Zoho One / Odoo.</t>
        </is>
      </c>
      <c r="I61" s="113" t="inlineStr">
        <is>
          <t>RBAC-20</t>
        </is>
      </c>
    </row>
    <row r="62" ht="72" customHeight="1">
      <c r="A62" s="113" t="inlineStr">
        <is>
          <t>C2</t>
        </is>
      </c>
      <c r="B62" s="116" t="inlineStr">
        <is>
          <t>P0</t>
        </is>
      </c>
      <c r="C62" s="113" t="inlineStr">
        <is>
          <t>Session management UI (/me/sessions)</t>
        </is>
      </c>
      <c r="D62" s="113" t="inlineStr">
        <is>
          <t>User needs to see 'I'm logged in on 3 devices, revoke the phone I lost'. Backend has FIX-003-C jti revocation infra — no UI endpoint exposes it.</t>
        </is>
      </c>
      <c r="E62" s="119" t="n"/>
      <c r="F62" s="119" t="n"/>
      <c r="G62" s="120" t="n"/>
      <c r="H62" s="113" t="inlineStr">
        <is>
          <t>Every consumer + B2B tool for 10 years.</t>
        </is>
      </c>
      <c r="I62" s="113" t="inlineStr">
        <is>
          <t>RBAC-21</t>
        </is>
      </c>
    </row>
    <row r="63" ht="72" customHeight="1">
      <c r="A63" s="113" t="inlineStr">
        <is>
          <t>C3</t>
        </is>
      </c>
      <c r="B63" s="116" t="inlineStr">
        <is>
          <t>P0</t>
        </is>
      </c>
      <c r="C63" s="113" t="inlineStr">
        <is>
          <t>Off-boarding workflow (deprovisioning)</t>
        </is>
      </c>
      <c r="D63" s="113" t="inlineStr">
        <is>
          <t>Departing employee must: revoke all sessions, reassign owned tasks, transfer decisions in-flight, mark authored contacts as reassigned, revoke invite tokens. Today only role-change/suspend/delete exist — the cleanup is manual.</t>
        </is>
      </c>
      <c r="E63" s="119" t="n"/>
      <c r="F63" s="119" t="n"/>
      <c r="G63" s="120" t="n"/>
      <c r="H63" s="113" t="inlineStr">
        <is>
          <t>Enterprise-must-have; SMEs benefit too.</t>
        </is>
      </c>
      <c r="I63" s="113" t="inlineStr">
        <is>
          <t>RBAC-22</t>
        </is>
      </c>
    </row>
    <row r="64" ht="72" customHeight="1">
      <c r="A64" s="113" t="inlineStr">
        <is>
          <t>C4</t>
        </is>
      </c>
      <c r="B64" s="115" t="inlineStr">
        <is>
          <t>P1</t>
        </is>
      </c>
      <c r="C64" s="113" t="inlineStr">
        <is>
          <t>MFA (TOTP / SMS second factor)</t>
        </is>
      </c>
      <c r="D64" s="113" t="inlineStr">
        <is>
          <t>Insurance, banking-adjacent, finance-team users demand it. Also 'sign-in from a new device' second-factor.</t>
        </is>
      </c>
      <c r="E64" s="119" t="n"/>
      <c r="F64" s="119" t="n"/>
      <c r="G64" s="120" t="n"/>
      <c r="H64" s="113" t="inlineStr">
        <is>
          <t>Universal.</t>
        </is>
      </c>
      <c r="I64" s="113" t="inlineStr">
        <is>
          <t>RBAC-23</t>
        </is>
      </c>
    </row>
    <row r="65" ht="72" customHeight="1">
      <c r="A65" s="113" t="inlineStr">
        <is>
          <t>C5</t>
        </is>
      </c>
      <c r="B65" s="115" t="inlineStr">
        <is>
          <t>P1</t>
        </is>
      </c>
      <c r="C65" s="113" t="inlineStr">
        <is>
          <t>Ownership transfer flow</t>
        </is>
      </c>
      <c r="D65" s="113" t="inlineStr">
        <is>
          <t>Founder leaves the company. Today, delete owner blocks 'last owner'; there's no clean promote-then-demote sequence with tenant billing rebind.</t>
        </is>
      </c>
      <c r="E65" s="119" t="n"/>
      <c r="F65" s="119" t="n"/>
      <c r="G65" s="120" t="n"/>
      <c r="H65" s="113" t="inlineStr">
        <is>
          <t>Common at series-A/B.</t>
        </is>
      </c>
      <c r="I65" s="113" t="inlineStr">
        <is>
          <t>RBAC-24</t>
        </is>
      </c>
    </row>
    <row r="66" ht="72" customHeight="1">
      <c r="A66" s="113" t="inlineStr">
        <is>
          <t>C6</t>
        </is>
      </c>
      <c r="B66" s="115" t="inlineStr">
        <is>
          <t>P1</t>
        </is>
      </c>
      <c r="C66" s="113" t="inlineStr">
        <is>
          <t>Consent tracking for AI features</t>
        </is>
      </c>
      <c r="D66" s="113" t="inlineStr">
        <is>
          <t>DPDP-2023 requires explicit consent for AI processing of PII. Today the app just sends employee names/tasks to Anthropic without a per-tenant consent gate.</t>
        </is>
      </c>
      <c r="E66" s="119" t="n"/>
      <c r="F66" s="119" t="n"/>
      <c r="G66" s="120" t="n"/>
      <c r="H66" s="113" t="inlineStr">
        <is>
          <t>Legal requirement for India.</t>
        </is>
      </c>
      <c r="I66" s="113" t="inlineStr">
        <is>
          <t>RBAC-25</t>
        </is>
      </c>
    </row>
    <row r="67" ht="72" customHeight="1">
      <c r="A67" s="113" t="inlineStr">
        <is>
          <t>C7</t>
        </is>
      </c>
      <c r="B67" s="114" t="inlineStr">
        <is>
          <t>P2</t>
        </is>
      </c>
      <c r="C67" s="113" t="inlineStr">
        <is>
          <t>Approval delegation ('acting-as')</t>
        </is>
      </c>
      <c r="D67" s="113" t="inlineStr">
        <is>
          <t>On-leave approvers block the workflow. Should be able to say 'while I'm out, X approves for me'. FIX-001-D and team.py have plumbing but no delegation surface.</t>
        </is>
      </c>
      <c r="E67" s="119" t="n"/>
      <c r="F67" s="119" t="n"/>
      <c r="G67" s="120" t="n"/>
      <c r="H67" s="113" t="inlineStr">
        <is>
          <t>Standard in HRIS / procurement.</t>
        </is>
      </c>
      <c r="I67" s="113" t="inlineStr">
        <is>
          <t>RBAC-26</t>
        </is>
      </c>
    </row>
    <row r="68" ht="72" customHeight="1">
      <c r="A68" s="113" t="inlineStr">
        <is>
          <t>C8</t>
        </is>
      </c>
      <c r="B68" s="114" t="inlineStr">
        <is>
          <t>P2</t>
        </is>
      </c>
      <c r="C68" s="113" t="inlineStr">
        <is>
          <t>Time-bounded elevated permissions</t>
        </is>
      </c>
      <c r="D68" s="113" t="inlineStr">
        <is>
          <t>Contractor gets finance perm for month-end close, auto-revokes at end of month. Today it's manual add/remove.</t>
        </is>
      </c>
      <c r="E68" s="119" t="n"/>
      <c r="F68" s="119" t="n"/>
      <c r="G68" s="120" t="n"/>
      <c r="H68" s="113" t="inlineStr">
        <is>
          <t>Nice-to-have.</t>
        </is>
      </c>
      <c r="I68" s="113" t="inlineStr">
        <is>
          <t>RBAC-27</t>
        </is>
      </c>
    </row>
    <row r="69" ht="72" customHeight="1">
      <c r="A69" s="113" t="inlineStr">
        <is>
          <t>C9</t>
        </is>
      </c>
      <c r="B69" s="114" t="inlineStr">
        <is>
          <t>P2</t>
        </is>
      </c>
      <c r="C69" s="113" t="inlineStr">
        <is>
          <t>SSO (Google / Microsoft / SAML)</t>
        </is>
      </c>
      <c r="D69" s="113" t="inlineStr">
        <is>
          <t>Enterprise gate. Most SMEs don't ask, but any 50+ employee prospect will.</t>
        </is>
      </c>
      <c r="E69" s="119" t="n"/>
      <c r="F69" s="119" t="n"/>
      <c r="G69" s="120" t="n"/>
      <c r="H69" s="113" t="inlineStr">
        <is>
          <t>SAML for enterprise; Google/MS OAuth for SME.</t>
        </is>
      </c>
      <c r="I69" s="113" t="inlineStr">
        <is>
          <t>RBAC-28</t>
        </is>
      </c>
    </row>
    <row r="70" ht="72" customHeight="1">
      <c r="A70" s="113" t="inlineStr">
        <is>
          <t>C10</t>
        </is>
      </c>
      <c r="B70" s="114" t="inlineStr">
        <is>
          <t>P2</t>
        </is>
      </c>
      <c r="C70" s="113" t="inlineStr">
        <is>
          <t>Per-user API keys</t>
        </is>
      </c>
      <c r="D70" s="113" t="inlineStr">
        <is>
          <t>Programmatic access (Zapier, custom scripts). Today the only path is JWT extraction from a browser session.</t>
        </is>
      </c>
      <c r="E70" s="119" t="n"/>
      <c r="F70" s="119" t="n"/>
      <c r="G70" s="120" t="n"/>
      <c r="H70" s="113" t="inlineStr">
        <is>
          <t>Standard.</t>
        </is>
      </c>
      <c r="I70" s="113" t="inlineStr">
        <is>
          <t>RBAC-29</t>
        </is>
      </c>
    </row>
    <row r="71" ht="72" customHeight="1">
      <c r="A71" s="113" t="inlineStr">
        <is>
          <t>C11</t>
        </is>
      </c>
      <c r="B71" s="114" t="inlineStr">
        <is>
          <t>P2</t>
        </is>
      </c>
      <c r="C71" s="113" t="inlineStr">
        <is>
          <t>Client / customer read-only portal</t>
        </is>
      </c>
      <c r="D71" s="113" t="inlineStr">
        <is>
          <t>Share a workflow status with a customer without giving them a full account. Common ask from procurement flow.</t>
        </is>
      </c>
      <c r="E71" s="119" t="n"/>
      <c r="F71" s="119" t="n"/>
      <c r="G71" s="120" t="n"/>
      <c r="H71" s="113" t="inlineStr">
        <is>
          <t>Common for procurement / support tools.</t>
        </is>
      </c>
      <c r="I71" s="113" t="inlineStr">
        <is>
          <t>RBAC-30</t>
        </is>
      </c>
    </row>
    <row r="73" ht="26" customHeight="1">
      <c r="A73" s="109" t="inlineStr">
        <is>
          <t>3. New backlog items (RBAC-01 through RBAC-30)</t>
        </is>
      </c>
    </row>
    <row r="74" ht="32" customHeight="1">
      <c r="A74" s="110" t="inlineStr">
        <is>
          <t>Each row is a shippable task. Priority = same P0/P1/P2 scale as Task Backlog. Effort = S(&lt;1d) / M(1-3d) / L(1w+). Blocks-Go-Live = whether the item must ship before we sell to a real multi-employee SME.</t>
        </is>
      </c>
    </row>
    <row r="76" ht="22" customHeight="1">
      <c r="A76" s="112" t="inlineStr">
        <is>
          <t>ID</t>
        </is>
      </c>
      <c r="B76" s="112" t="inlineStr">
        <is>
          <t>Priority</t>
        </is>
      </c>
      <c r="C76" s="112" t="inlineStr">
        <is>
          <t>Effort</t>
        </is>
      </c>
      <c r="D76" s="112" t="inlineStr">
        <is>
          <t>Task title</t>
        </is>
      </c>
      <c r="E76" s="112" t="inlineStr">
        <is>
          <t>Blocks?</t>
        </is>
      </c>
      <c r="F76" s="112" t="inlineStr">
        <is>
          <t>Depends on</t>
        </is>
      </c>
      <c r="G76" s="112" t="inlineStr">
        <is>
          <t>Category</t>
        </is>
      </c>
      <c r="H76" s="112" t="inlineStr">
        <is>
          <t>Sprint</t>
        </is>
      </c>
      <c r="I76" s="112" t="inlineStr">
        <is>
          <t>Description + acceptance</t>
        </is>
      </c>
    </row>
    <row r="77" ht="76" customHeight="1">
      <c r="A77" s="113" t="inlineStr">
        <is>
          <t>RBAC-01</t>
        </is>
      </c>
      <c r="B77" s="116" t="inlineStr">
        <is>
          <t>P0</t>
        </is>
      </c>
      <c r="C77" s="113" t="inlineStr">
        <is>
          <t>S</t>
        </is>
      </c>
      <c r="D77" s="113" t="inlineStr">
        <is>
          <t>Auth-gate onboarding drafts</t>
        </is>
      </c>
      <c r="E77" s="116" t="inlineStr">
        <is>
          <t>Yes</t>
        </is>
      </c>
      <c r="F77" s="113" t="inlineStr">
        <is>
          <t>-</t>
        </is>
      </c>
      <c r="G77" s="113" t="inlineStr">
        <is>
          <t>Endpoint gate</t>
        </is>
      </c>
      <c r="H77" s="113" t="inlineStr">
        <is>
          <t>Sprint 2.5</t>
        </is>
      </c>
      <c r="I77" s="113" t="inlineStr">
        <is>
          <t>GET/PATCH /onboarding/draft/{draft_id} become 'signed link only': add a signed HMAC on the draft URL (draft_id + issued_at + signature). Only the client that created the draft can read/write. Add rate-limit per IP. Accept: cannot access another draft even with a leaked UUID.</t>
        </is>
      </c>
    </row>
    <row r="78" ht="76" customHeight="1">
      <c r="A78" s="113" t="inlineStr">
        <is>
          <t>RBAC-02</t>
        </is>
      </c>
      <c r="B78" s="116" t="inlineStr">
        <is>
          <t>P0</t>
        </is>
      </c>
      <c r="C78" s="113" t="inlineStr">
        <is>
          <t>M</t>
        </is>
      </c>
      <c r="D78" s="113" t="inlineStr">
        <is>
          <t>CAPTCHA + IP rate-limit on /register</t>
        </is>
      </c>
      <c r="E78" s="116" t="inlineStr">
        <is>
          <t>Yes</t>
        </is>
      </c>
      <c r="F78" s="113" t="inlineStr">
        <is>
          <t>-</t>
        </is>
      </c>
      <c r="G78" s="113" t="inlineStr">
        <is>
          <t>Endpoint gate</t>
        </is>
      </c>
      <c r="H78" s="113" t="inlineStr">
        <is>
          <t>Sprint 2.5</t>
        </is>
      </c>
      <c r="I78" s="113" t="inlineStr">
        <is>
          <t>Turnstile (Cloudflare, free) or hCaptcha on POST /register. IP rate limit: 3 registrations/hour/IP. Accept: bot creating 100 tenants gets blocked at #4.</t>
        </is>
      </c>
    </row>
    <row r="79" ht="76" customHeight="1">
      <c r="A79" s="113" t="inlineStr">
        <is>
          <t>RBAC-03</t>
        </is>
      </c>
      <c r="B79" s="116" t="inlineStr">
        <is>
          <t>P0</t>
        </is>
      </c>
      <c r="C79" s="113" t="inlineStr">
        <is>
          <t>M</t>
        </is>
      </c>
      <c r="D79" s="113" t="inlineStr">
        <is>
          <t>Auth-gate + rate-limit signup AI endpoints</t>
        </is>
      </c>
      <c r="E79" s="116" t="inlineStr">
        <is>
          <t>Yes</t>
        </is>
      </c>
      <c r="F79" s="113" t="inlineStr">
        <is>
          <t>-</t>
        </is>
      </c>
      <c r="G79" s="113" t="inlineStr">
        <is>
          <t>Endpoint gate</t>
        </is>
      </c>
      <c r="H79" s="113" t="inlineStr">
        <is>
          <t>Sprint 2.5</t>
        </is>
      </c>
      <c r="I79" s="113" t="inlineStr">
        <is>
          <t>/website-intel, /signup/tts, /signup/stt need: CAPTCHA on first call per IP + per-IP 10-req/hour ceiling. SSRF guard on /website-intel (block private IP ranges, allowlist protocols). Accept: unauth attacker cannot burn &gt; $0.10 of AI credit.</t>
        </is>
      </c>
    </row>
    <row r="80" ht="76" customHeight="1">
      <c r="A80" s="113" t="inlineStr">
        <is>
          <t>RBAC-04</t>
        </is>
      </c>
      <c r="B80" s="115" t="inlineStr">
        <is>
          <t>P1</t>
        </is>
      </c>
      <c r="C80" s="113" t="inlineStr">
        <is>
          <t>S</t>
        </is>
      </c>
      <c r="D80" s="113" t="inlineStr">
        <is>
          <t>Symmetric role gate on /workflows create+delete</t>
        </is>
      </c>
      <c r="E80" s="114" t="inlineStr">
        <is>
          <t>No</t>
        </is>
      </c>
      <c r="F80" s="113" t="inlineStr">
        <is>
          <t>-</t>
        </is>
      </c>
      <c r="G80" s="113" t="inlineStr">
        <is>
          <t>Endpoint gate</t>
        </is>
      </c>
      <c r="H80" s="113" t="inlineStr">
        <is>
          <t>Sprint 2.5</t>
        </is>
      </c>
      <c r="I80" s="113" t="inlineStr">
        <is>
          <t>POST /workflows: add require_perm('workflows') at minimum, ideally require_perm('workflow_create') if we split it. Accept: employee without workflow perm gets 403 on create.</t>
        </is>
      </c>
    </row>
    <row r="81" ht="76" customHeight="1">
      <c r="A81" s="113" t="inlineStr">
        <is>
          <t>RBAC-05</t>
        </is>
      </c>
      <c r="B81" s="115" t="inlineStr">
        <is>
          <t>P1</t>
        </is>
      </c>
      <c r="C81" s="113" t="inlineStr">
        <is>
          <t>S</t>
        </is>
      </c>
      <c r="D81" s="113" t="inlineStr">
        <is>
          <t>Gate /captures approve/reject/reassign</t>
        </is>
      </c>
      <c r="E81" s="114" t="inlineStr">
        <is>
          <t>No</t>
        </is>
      </c>
      <c r="F81" s="113" t="inlineStr">
        <is>
          <t>-</t>
        </is>
      </c>
      <c r="G81" s="113" t="inlineStr">
        <is>
          <t>Endpoint gate</t>
        </is>
      </c>
      <c r="H81" s="113" t="inlineStr">
        <is>
          <t>Sprint 2.5</t>
        </is>
      </c>
      <c r="I81" s="113" t="inlineStr">
        <is>
          <t>Approving/rejecting a capture creates real records — must be require_perm('approvals') or role-gated. Accept: employee without approvals perm gets 403.</t>
        </is>
      </c>
    </row>
    <row r="82" ht="76" customHeight="1">
      <c r="A82" s="113" t="inlineStr">
        <is>
          <t>RBAC-06</t>
        </is>
      </c>
      <c r="B82" s="115" t="inlineStr">
        <is>
          <t>P1</t>
        </is>
      </c>
      <c r="C82" s="113" t="inlineStr">
        <is>
          <t>S</t>
        </is>
      </c>
      <c r="D82" s="113" t="inlineStr">
        <is>
          <t>Gate /follow-up/run to owner or team_manage</t>
        </is>
      </c>
      <c r="E82" s="114" t="inlineStr">
        <is>
          <t>No</t>
        </is>
      </c>
      <c r="F82" s="113" t="inlineStr">
        <is>
          <t>-</t>
        </is>
      </c>
      <c r="G82" s="113" t="inlineStr">
        <is>
          <t>Endpoint gate</t>
        </is>
      </c>
      <c r="H82" s="113" t="inlineStr">
        <is>
          <t>Sprint 2.5</t>
        </is>
      </c>
      <c r="I82" s="113" t="inlineStr">
        <is>
          <t>Manual follow-up trigger burns LLM. Restrict to owner or perm(team_manage).</t>
        </is>
      </c>
    </row>
    <row r="83" ht="76" customHeight="1">
      <c r="A83" s="113" t="inlineStr">
        <is>
          <t>RBAC-07</t>
        </is>
      </c>
      <c r="B83" s="115" t="inlineStr">
        <is>
          <t>P1</t>
        </is>
      </c>
      <c r="C83" s="113" t="inlineStr">
        <is>
          <t>M</t>
        </is>
      </c>
      <c r="D83" s="113" t="inlineStr">
        <is>
          <t>Role gates across tasks router</t>
        </is>
      </c>
      <c r="E83" s="114" t="inlineStr">
        <is>
          <t>No</t>
        </is>
      </c>
      <c r="F83" s="113" t="inlineStr">
        <is>
          <t>-</t>
        </is>
      </c>
      <c r="G83" s="113" t="inlineStr">
        <is>
          <t>Endpoint gate</t>
        </is>
      </c>
      <c r="H83" s="113" t="inlineStr">
        <is>
          <t>Sprint 2.5</t>
        </is>
      </c>
      <c r="I83" s="113" t="inlineStr">
        <is>
          <t>17 endpoints in routers/tasks.py are auth-only. Group: reassign + priority-change + delete-execution-plan need perm('team_manage'); prioritize (LLM) needs perm('tasks'). Add explicit decorators. Accept: cross-role matrix test passes.</t>
        </is>
      </c>
    </row>
    <row r="84" ht="76" customHeight="1">
      <c r="A84" s="113" t="inlineStr">
        <is>
          <t>RBAC-08</t>
        </is>
      </c>
      <c r="B84" s="115" t="inlineStr">
        <is>
          <t>P1</t>
        </is>
      </c>
      <c r="C84" s="113" t="inlineStr">
        <is>
          <t>S</t>
        </is>
      </c>
      <c r="D84" s="113" t="inlineStr">
        <is>
          <t>Gate voice/meeting AI on perm(voice_capture)</t>
        </is>
      </c>
      <c r="E84" s="114" t="inlineStr">
        <is>
          <t>No</t>
        </is>
      </c>
      <c r="F84" s="113" t="inlineStr">
        <is>
          <t>-</t>
        </is>
      </c>
      <c r="G84" s="113" t="inlineStr">
        <is>
          <t>Endpoint gate</t>
        </is>
      </c>
      <c r="H84" s="113" t="inlineStr">
        <is>
          <t>Sprint 2.5</t>
        </is>
      </c>
      <c r="I84" s="113" t="inlineStr">
        <is>
          <t>voice_capture permission exists in PERMISSION_KEYS but only used by 3 endpoints. Add to /voice-notes text+audio and /meetings audio. Accept: perm-less employee can't burn STT credits.</t>
        </is>
      </c>
    </row>
    <row r="85" ht="76" customHeight="1">
      <c r="A85" s="113" t="inlineStr">
        <is>
          <t>RBAC-09</t>
        </is>
      </c>
      <c r="B85" s="115" t="inlineStr">
        <is>
          <t>P1</t>
        </is>
      </c>
      <c r="C85" s="113" t="inlineStr">
        <is>
          <t>S</t>
        </is>
      </c>
      <c r="D85" s="113" t="inlineStr">
        <is>
          <t>Add decorator gate to leaves approve/reject</t>
        </is>
      </c>
      <c r="E85" s="114" t="inlineStr">
        <is>
          <t>No</t>
        </is>
      </c>
      <c r="F85" s="113" t="inlineStr">
        <is>
          <t>-</t>
        </is>
      </c>
      <c r="G85" s="113" t="inlineStr">
        <is>
          <t>Endpoint gate</t>
        </is>
      </c>
      <c r="H85" s="113" t="inlineStr">
        <is>
          <t>Sprint 2.5</t>
        </is>
      </c>
      <c r="I85" s="113" t="inlineStr">
        <is>
          <t>Move inline _can_approve_leave into require_perm('leave_approve'). Keep inline check as defense-in-depth. Accept: reviewer reading the route sees the gate in the signature.</t>
        </is>
      </c>
    </row>
    <row r="86" ht="76" customHeight="1">
      <c r="A86" s="113" t="inlineStr">
        <is>
          <t>RBAC-10</t>
        </is>
      </c>
      <c r="B86" s="114" t="inlineStr">
        <is>
          <t>P2</t>
        </is>
      </c>
      <c r="C86" s="113" t="inlineStr">
        <is>
          <t>S</t>
        </is>
      </c>
      <c r="D86" s="113" t="inlineStr">
        <is>
          <t>Split brain export permission</t>
        </is>
      </c>
      <c r="E86" s="114" t="inlineStr">
        <is>
          <t>No</t>
        </is>
      </c>
      <c r="F86" s="113" t="inlineStr">
        <is>
          <t>-</t>
        </is>
      </c>
      <c r="G86" s="113" t="inlineStr">
        <is>
          <t>Endpoint gate</t>
        </is>
      </c>
      <c r="H86" s="113" t="inlineStr">
        <is>
          <t>Sprint 2.5</t>
        </is>
      </c>
      <c r="I86" s="113" t="inlineStr">
        <is>
          <t>POST /brain/export requires perm('brain_export') (new key) instead of perm('ask'). Accept: user with 'ask' but not 'brain_export' gets 403.</t>
        </is>
      </c>
    </row>
    <row r="87" ht="76" customHeight="1">
      <c r="A87" s="113" t="inlineStr">
        <is>
          <t>RBAC-11</t>
        </is>
      </c>
      <c r="B87" s="114" t="inlineStr">
        <is>
          <t>P2</t>
        </is>
      </c>
      <c r="C87" s="113" t="inlineStr">
        <is>
          <t>S</t>
        </is>
      </c>
      <c r="D87" s="113" t="inlineStr">
        <is>
          <t>Gate memory write on perm(brain)</t>
        </is>
      </c>
      <c r="E87" s="114" t="inlineStr">
        <is>
          <t>No</t>
        </is>
      </c>
      <c r="F87" s="113" t="inlineStr">
        <is>
          <t>-</t>
        </is>
      </c>
      <c r="G87" s="113" t="inlineStr">
        <is>
          <t>Endpoint gate</t>
        </is>
      </c>
      <c r="H87" s="113" t="inlineStr">
        <is>
          <t>Sprint 2.5</t>
        </is>
      </c>
      <c r="I87" s="113" t="inlineStr">
        <is>
          <t>POST /memory is auth-only. Restrict to perm('brain'). Accept: memory list still readable by all, write gated.</t>
        </is>
      </c>
    </row>
    <row r="88" ht="76" customHeight="1">
      <c r="A88" s="113" t="inlineStr">
        <is>
          <t>RBAC-12</t>
        </is>
      </c>
      <c r="B88" s="116" t="inlineStr">
        <is>
          <t>P0</t>
        </is>
      </c>
      <c r="C88" s="113" t="inlineStr">
        <is>
          <t>L</t>
        </is>
      </c>
      <c r="D88" s="113" t="inlineStr">
        <is>
          <t>Email-per-tenant uniqueness (kill global unique)</t>
        </is>
      </c>
      <c r="E88" s="116" t="inlineStr">
        <is>
          <t>Yes</t>
        </is>
      </c>
      <c r="F88" s="113" t="inlineStr">
        <is>
          <t>RBAC-13</t>
        </is>
      </c>
      <c r="G88" s="113" t="inlineStr">
        <is>
          <t>Data model</t>
        </is>
      </c>
      <c r="H88" s="113" t="inlineStr">
        <is>
          <t>Sprint 2.5</t>
        </is>
      </c>
      <c r="I88" s="113" t="inlineStr">
        <is>
          <t>Move email uniqueness from `users.email` global unique to compound `(tenant_id, email)`. Register + login flow accept optional tenant hint the same way FIX-003-A did for phones (single-tenant fast path + ambiguity picker for multi-tenant email). Migration ledger entry. Accept: same email registered in 2 workspaces works; login prompts workspace picker.</t>
        </is>
      </c>
    </row>
    <row r="89" ht="76" customHeight="1">
      <c r="A89" s="113" t="inlineStr">
        <is>
          <t>RBAC-13</t>
        </is>
      </c>
      <c r="B89" s="116" t="inlineStr">
        <is>
          <t>P0</t>
        </is>
      </c>
      <c r="C89" s="113" t="inlineStr">
        <is>
          <t>L</t>
        </is>
      </c>
      <c r="D89" s="113" t="inlineStr">
        <is>
          <t>Introduce memberships collection (many-to-many)</t>
        </is>
      </c>
      <c r="E89" s="116" t="inlineStr">
        <is>
          <t>Yes</t>
        </is>
      </c>
      <c r="F89" s="113" t="inlineStr">
        <is>
          <t>-</t>
        </is>
      </c>
      <c r="G89" s="113" t="inlineStr">
        <is>
          <t>Data model</t>
        </is>
      </c>
      <c r="H89" s="113" t="inlineStr">
        <is>
          <t>Sprint 2.5</t>
        </is>
      </c>
      <c r="I89" s="113" t="inlineStr">
        <is>
          <t>New `memberships` collection: {user_id, tenant_id, role, permissions, status, invited_by, invited_at, accepted_at}. `users` collection becomes tenant-agnostic. All find_one({tenant_id, id}) become find_one via memberships. Big refactor — do it BEFORE Sprint 3 billing so plans attach to tenants not users. Accept: full test-suite passes with the new model + a user with 2 memberships can list both from /me/workspaces.</t>
        </is>
      </c>
    </row>
    <row r="90" ht="76" customHeight="1">
      <c r="A90" s="113" t="inlineStr">
        <is>
          <t>RBAC-14</t>
        </is>
      </c>
      <c r="B90" s="115" t="inlineStr">
        <is>
          <t>P1</t>
        </is>
      </c>
      <c r="C90" s="113" t="inlineStr">
        <is>
          <t>M</t>
        </is>
      </c>
      <c r="D90" s="113" t="inlineStr">
        <is>
          <t>Per-role permission editor</t>
        </is>
      </c>
      <c r="E90" s="114" t="inlineStr">
        <is>
          <t>No</t>
        </is>
      </c>
      <c r="F90" s="113" t="inlineStr">
        <is>
          <t>RBAC-13</t>
        </is>
      </c>
      <c r="G90" s="113" t="inlineStr">
        <is>
          <t>Data model</t>
        </is>
      </c>
      <c r="H90" s="113" t="inlineStr">
        <is>
          <t>Sprint 2.5</t>
        </is>
      </c>
      <c r="I90" s="113" t="inlineStr">
        <is>
          <t>Store role permissions on tenant.roles[i].permissions[]. New endpoint PATCH /tenant/roles/{key}/permissions. UI on the roles admin page. Accept: editing 'warehouse_manager' to include 'finance' immediately gives every warehouse_manager finance access without touching individual users.</t>
        </is>
      </c>
    </row>
    <row r="91" ht="76" customHeight="1">
      <c r="A91" s="113" t="inlineStr">
        <is>
          <t>RBAC-15</t>
        </is>
      </c>
      <c r="B91" s="115" t="inlineStr">
        <is>
          <t>P1</t>
        </is>
      </c>
      <c r="C91" s="113" t="inlineStr">
        <is>
          <t>S</t>
        </is>
      </c>
      <c r="D91" s="113" t="inlineStr">
        <is>
          <t>Owner exclusion list</t>
        </is>
      </c>
      <c r="E91" s="114" t="inlineStr">
        <is>
          <t>No</t>
        </is>
      </c>
      <c r="F91" s="113" t="inlineStr">
        <is>
          <t>-</t>
        </is>
      </c>
      <c r="G91" s="113" t="inlineStr">
        <is>
          <t>Data model</t>
        </is>
      </c>
      <c r="H91" s="113" t="inlineStr">
        <is>
          <t>Sprint 2.5</t>
        </is>
      </c>
      <c r="I91" s="113" t="inlineStr">
        <is>
          <t>tenant.owner_exclusions[] = ['finance', 'ledger']. user_perms treats owner+exclusion as 'all perms minus exclusion'. Accept: co-founder marked with finance exclusion gets 403 on /ledger.</t>
        </is>
      </c>
    </row>
    <row r="92" ht="76" customHeight="1">
      <c r="A92" s="113" t="inlineStr">
        <is>
          <t>RBAC-16</t>
        </is>
      </c>
      <c r="B92" s="115" t="inlineStr">
        <is>
          <t>P1</t>
        </is>
      </c>
      <c r="C92" s="113" t="inlineStr">
        <is>
          <t>S</t>
        </is>
      </c>
      <c r="D92" s="113" t="inlineStr">
        <is>
          <t>Fix ROLES/DEFAULT_ROLES 'production' vs 'operations'</t>
        </is>
      </c>
      <c r="E92" s="114" t="inlineStr">
        <is>
          <t>No</t>
        </is>
      </c>
      <c r="F92" s="113" t="inlineStr">
        <is>
          <t>-</t>
        </is>
      </c>
      <c r="G92" s="113" t="inlineStr">
        <is>
          <t>Data model</t>
        </is>
      </c>
      <c r="H92" s="113" t="inlineStr">
        <is>
          <t>Sprint 2.5</t>
        </is>
      </c>
      <c r="I92" s="113" t="inlineStr">
        <is>
          <t>Pick one canonical name. Add migration that renames any existing 'production' role to 'operations' (or vice versa) on tenant.roles + user.role. Accept: grep finds only one canonical name; existing tenants unaffected.</t>
        </is>
      </c>
    </row>
    <row r="93" ht="76" customHeight="1">
      <c r="A93" s="113" t="inlineStr">
        <is>
          <t>RBAC-17</t>
        </is>
      </c>
      <c r="B93" s="115" t="inlineStr">
        <is>
          <t>P1</t>
        </is>
      </c>
      <c r="C93" s="113" t="inlineStr">
        <is>
          <t>S</t>
        </is>
      </c>
      <c r="D93" s="113" t="inlineStr">
        <is>
          <t>'Pending invite' status on user</t>
        </is>
      </c>
      <c r="E93" s="114" t="inlineStr">
        <is>
          <t>No</t>
        </is>
      </c>
      <c r="F93" s="113" t="inlineStr">
        <is>
          <t>-</t>
        </is>
      </c>
      <c r="G93" s="113" t="inlineStr">
        <is>
          <t>Data model</t>
        </is>
      </c>
      <c r="H93" s="113" t="inlineStr">
        <is>
          <t>Sprint 2.5</t>
        </is>
      </c>
      <c r="I93" s="113" t="inlineStr">
        <is>
          <t>Add user.invite_status = 'pending' | 'accepted'. Set 'pending' on create-with-invite; flip to 'accepted' on first OTP verify. GET /users returns the flag; admin UI shows a 'Pending' badge. Add resend-invite + revoke-invite endpoints. Accept: invited user shows Pending; revoked user cannot verify.</t>
        </is>
      </c>
    </row>
    <row r="94" ht="76" customHeight="1">
      <c r="A94" s="113" t="inlineStr">
        <is>
          <t>RBAC-18</t>
        </is>
      </c>
      <c r="B94" s="114" t="inlineStr">
        <is>
          <t>P2</t>
        </is>
      </c>
      <c r="C94" s="113" t="inlineStr">
        <is>
          <t>L</t>
        </is>
      </c>
      <c r="D94" s="113" t="inlineStr">
        <is>
          <t>Department/branch scope on permissions</t>
        </is>
      </c>
      <c r="E94" s="114" t="inlineStr">
        <is>
          <t>No</t>
        </is>
      </c>
      <c r="F94" s="113" t="inlineStr">
        <is>
          <t>RBAC-13</t>
        </is>
      </c>
      <c r="G94" s="113" t="inlineStr">
        <is>
          <t>Data model</t>
        </is>
      </c>
      <c r="H94" s="113" t="inlineStr">
        <is>
          <t>Sprint 4</t>
        </is>
      </c>
      <c r="I94" s="113" t="inlineStr">
        <is>
          <t>Add `branches` collection + membership.branch_id + permission modifier '[perm]:branch_X'. Blocks multi-location SMEs. Accept: Finance Manager in Store A sees zero Store B invoices.</t>
        </is>
      </c>
    </row>
    <row r="95" ht="76" customHeight="1">
      <c r="A95" s="113" t="inlineStr">
        <is>
          <t>RBAC-19</t>
        </is>
      </c>
      <c r="B95" s="114" t="inlineStr">
        <is>
          <t>P2</t>
        </is>
      </c>
      <c r="C95" s="113" t="inlineStr">
        <is>
          <t>M</t>
        </is>
      </c>
      <c r="D95" s="113" t="inlineStr">
        <is>
          <t>User groups</t>
        </is>
      </c>
      <c r="E95" s="114" t="inlineStr">
        <is>
          <t>No</t>
        </is>
      </c>
      <c r="F95" s="113" t="inlineStr">
        <is>
          <t>RBAC-13</t>
        </is>
      </c>
      <c r="G95" s="113" t="inlineStr">
        <is>
          <t>Data model</t>
        </is>
      </c>
      <c r="H95" s="113" t="inlineStr">
        <is>
          <t>Sprint 4</t>
        </is>
      </c>
      <c r="I95" s="113" t="inlineStr">
        <is>
          <t>New `user_groups` collection: {tenant_id, name, member_ids, permissions[]}. user_perms merges (role) + (user override) + (union of groups). Accept: adding 'inventory' perm to 'Regional Managers' group instantly grants it to all group members.</t>
        </is>
      </c>
    </row>
    <row r="96" ht="76" customHeight="1">
      <c r="A96" s="113" t="inlineStr">
        <is>
          <t>RBAC-20</t>
        </is>
      </c>
      <c r="B96" s="116" t="inlineStr">
        <is>
          <t>P0</t>
        </is>
      </c>
      <c r="C96" s="113" t="inlineStr">
        <is>
          <t>M</t>
        </is>
      </c>
      <c r="D96" s="113" t="inlineStr">
        <is>
          <t>Immutable audit log (audit_log collection)</t>
        </is>
      </c>
      <c r="E96" s="116" t="inlineStr">
        <is>
          <t>Yes</t>
        </is>
      </c>
      <c r="F96" s="113" t="inlineStr">
        <is>
          <t>-</t>
        </is>
      </c>
      <c r="G96" s="113" t="inlineStr">
        <is>
          <t>Compliance</t>
        </is>
      </c>
      <c r="H96" s="113" t="inlineStr">
        <is>
          <t>Sprint 2.5</t>
        </is>
      </c>
      <c r="I96" s="113" t="inlineStr">
        <is>
          <t>New collection audit_log with append-only writes: {actor_id, actor_email, actor_ip, actor_ua, action, entity_type, entity_id, before, after, timestamp, tenant_id}. Wrap every mutating endpoint with a middleware or decorator. Read-only endpoint /admin/audit-log. Accept: deleting a decision leaves an audit row; audit rows cannot be updated/deleted via API.</t>
        </is>
      </c>
    </row>
    <row r="97" ht="76" customHeight="1">
      <c r="A97" s="113" t="inlineStr">
        <is>
          <t>RBAC-21</t>
        </is>
      </c>
      <c r="B97" s="116" t="inlineStr">
        <is>
          <t>P0</t>
        </is>
      </c>
      <c r="C97" s="113" t="inlineStr">
        <is>
          <t>M</t>
        </is>
      </c>
      <c r="D97" s="113" t="inlineStr">
        <is>
          <t>/me/sessions endpoint + revoke by device</t>
        </is>
      </c>
      <c r="E97" s="116" t="inlineStr">
        <is>
          <t>Yes</t>
        </is>
      </c>
      <c r="F97" s="113" t="inlineStr">
        <is>
          <t>-</t>
        </is>
      </c>
      <c r="G97" s="113" t="inlineStr">
        <is>
          <t>UX + security</t>
        </is>
      </c>
      <c r="H97" s="113" t="inlineStr">
        <is>
          <t>Sprint 2.5</t>
        </is>
      </c>
      <c r="I97" s="113" t="inlineStr">
        <is>
          <t>Track session metadata on jti (device UA, IP, last-seen). Add GET /me/sessions returning active sessions; DELETE /me/sessions/{jti} revokes one; DELETE /me/sessions revokes ALL except current. Uses FIX-003-C session_revocation infra. Accept: user can see + revoke individual devices.</t>
        </is>
      </c>
    </row>
    <row r="98" ht="76" customHeight="1">
      <c r="A98" s="113" t="inlineStr">
        <is>
          <t>RBAC-22</t>
        </is>
      </c>
      <c r="B98" s="116" t="inlineStr">
        <is>
          <t>P0</t>
        </is>
      </c>
      <c r="C98" s="113" t="inlineStr">
        <is>
          <t>L</t>
        </is>
      </c>
      <c r="D98" s="113" t="inlineStr">
        <is>
          <t>Off-boarding workflow (deprovisioning wizard)</t>
        </is>
      </c>
      <c r="E98" s="116" t="inlineStr">
        <is>
          <t>Yes</t>
        </is>
      </c>
      <c r="F98" s="113" t="inlineStr">
        <is>
          <t>RBAC-21</t>
        </is>
      </c>
      <c r="G98" s="113" t="inlineStr">
        <is>
          <t>UX + security</t>
        </is>
      </c>
      <c r="H98" s="113" t="inlineStr">
        <is>
          <t>Sprint 2.5</t>
        </is>
      </c>
      <c r="I98" s="113" t="inlineStr">
        <is>
          <t>POST /users/{id}/deprovision runs: revoke all sessions, reassign owned tasks to specified user, transfer in-flight decisions, mark authored contacts as reassigned, invalidate all invite tokens. Idempotent. Owner-only. Accept: after deprovision the departing user has zero owned entities.</t>
        </is>
      </c>
    </row>
    <row r="99" ht="76" customHeight="1">
      <c r="A99" s="113" t="inlineStr">
        <is>
          <t>RBAC-23</t>
        </is>
      </c>
      <c r="B99" s="115" t="inlineStr">
        <is>
          <t>P1</t>
        </is>
      </c>
      <c r="C99" s="113" t="inlineStr">
        <is>
          <t>M</t>
        </is>
      </c>
      <c r="D99" s="113" t="inlineStr">
        <is>
          <t>TOTP-based 2FA</t>
        </is>
      </c>
      <c r="E99" s="114" t="inlineStr">
        <is>
          <t>No</t>
        </is>
      </c>
      <c r="F99" s="113" t="inlineStr">
        <is>
          <t>-</t>
        </is>
      </c>
      <c r="G99" s="113" t="inlineStr">
        <is>
          <t>Security</t>
        </is>
      </c>
      <c r="H99" s="113" t="inlineStr">
        <is>
          <t>Sprint 3</t>
        </is>
      </c>
      <c r="I99" s="113" t="inlineStr">
        <is>
          <t>Standard pyotp-based flow: enroll (QR + secret), verify, backup codes. Second-factor on login when enabled. Recovery via email + backup code. Accept: user with 2FA enabled cannot log in with password alone.</t>
        </is>
      </c>
    </row>
    <row r="100" ht="76" customHeight="1">
      <c r="A100" s="113" t="inlineStr">
        <is>
          <t>RBAC-24</t>
        </is>
      </c>
      <c r="B100" s="115" t="inlineStr">
        <is>
          <t>P1</t>
        </is>
      </c>
      <c r="C100" s="113" t="inlineStr">
        <is>
          <t>M</t>
        </is>
      </c>
      <c r="D100" s="113" t="inlineStr">
        <is>
          <t>Ownership transfer flow</t>
        </is>
      </c>
      <c r="E100" s="114" t="inlineStr">
        <is>
          <t>No</t>
        </is>
      </c>
      <c r="F100" s="113" t="inlineStr">
        <is>
          <t>RBAC-13</t>
        </is>
      </c>
      <c r="G100" s="113" t="inlineStr">
        <is>
          <t>UX</t>
        </is>
      </c>
      <c r="H100" s="113" t="inlineStr">
        <is>
          <t>Sprint 3</t>
        </is>
      </c>
      <c r="I100" s="113" t="inlineStr">
        <is>
          <t>POST /tenant/transfer-ownership {new_owner_user_id}: promote target to owner, demote current to specified role, cascade billing rebind. Requires 2FA confirm from current owner. Accept: last owner promoted successfully, previous owner remains as employee.</t>
        </is>
      </c>
    </row>
    <row r="101" ht="76" customHeight="1">
      <c r="A101" s="113" t="inlineStr">
        <is>
          <t>RBAC-25</t>
        </is>
      </c>
      <c r="B101" s="115" t="inlineStr">
        <is>
          <t>P1</t>
        </is>
      </c>
      <c r="C101" s="113" t="inlineStr">
        <is>
          <t>M</t>
        </is>
      </c>
      <c r="D101" s="113" t="inlineStr">
        <is>
          <t>Consent tracking for AI features (DPDP)</t>
        </is>
      </c>
      <c r="E101" s="114" t="inlineStr">
        <is>
          <t>No</t>
        </is>
      </c>
      <c r="F101" s="113" t="inlineStr">
        <is>
          <t>-</t>
        </is>
      </c>
      <c r="G101" s="113" t="inlineStr">
        <is>
          <t>Compliance</t>
        </is>
      </c>
      <c r="H101" s="113" t="inlineStr">
        <is>
          <t>Sprint 3</t>
        </is>
      </c>
      <c r="I101" s="113" t="inlineStr">
        <is>
          <t>tenant.ai_consent = {granted_at, granted_by_user_id, ip, ua, version}. Show a first-run modal 'DecisionOS uses AI (Anthropic) to process operational data. Consent required.' Gate all AI endpoints on tenant.ai_consent. Log revocations. Accept: fresh tenant cannot use /ask until consent granted.</t>
        </is>
      </c>
    </row>
    <row r="102" ht="76" customHeight="1">
      <c r="A102" s="113" t="inlineStr">
        <is>
          <t>RBAC-26</t>
        </is>
      </c>
      <c r="B102" s="114" t="inlineStr">
        <is>
          <t>P2</t>
        </is>
      </c>
      <c r="C102" s="113" t="inlineStr">
        <is>
          <t>M</t>
        </is>
      </c>
      <c r="D102" s="113" t="inlineStr">
        <is>
          <t>Approval delegation ('acting-as')</t>
        </is>
      </c>
      <c r="E102" s="114" t="inlineStr">
        <is>
          <t>No</t>
        </is>
      </c>
      <c r="F102" s="113" t="inlineStr">
        <is>
          <t>-</t>
        </is>
      </c>
      <c r="G102" s="113" t="inlineStr">
        <is>
          <t>UX</t>
        </is>
      </c>
      <c r="H102" s="113" t="inlineStr">
        <is>
          <t>Sprint 4</t>
        </is>
      </c>
      <c r="I102" s="113" t="inlineStr">
        <is>
          <t>user.acting_as: {delegate_user_id, from, to}. When present, approvals routed to `delegate_user_id`. Combines with leaves. Accept: on-leave approver's tasks auto-route to their delegate; badge shows 'Acting for X'.</t>
        </is>
      </c>
    </row>
    <row r="103" ht="76" customHeight="1">
      <c r="A103" s="113" t="inlineStr">
        <is>
          <t>RBAC-27</t>
        </is>
      </c>
      <c r="B103" s="114" t="inlineStr">
        <is>
          <t>P2</t>
        </is>
      </c>
      <c r="C103" s="113" t="inlineStr">
        <is>
          <t>M</t>
        </is>
      </c>
      <c r="D103" s="113" t="inlineStr">
        <is>
          <t>Time-bounded elevated permissions</t>
        </is>
      </c>
      <c r="E103" s="114" t="inlineStr">
        <is>
          <t>No</t>
        </is>
      </c>
      <c r="F103" s="113" t="inlineStr">
        <is>
          <t>RBAC-13</t>
        </is>
      </c>
      <c r="G103" s="113" t="inlineStr">
        <is>
          <t>UX</t>
        </is>
      </c>
      <c r="H103" s="113" t="inlineStr">
        <is>
          <t>Sprint 4</t>
        </is>
      </c>
      <c r="I103" s="113" t="inlineStr">
        <is>
          <t>membership.temp_grants[] = [{perm, granted_by, expires_at, reason}]. Bootstrap TTL sweep to auto-revoke. Audit log entry on grant + revoke. Accept: contractor gets 'finance' perm for 30 days, auto-revoked.</t>
        </is>
      </c>
    </row>
    <row r="104" ht="76" customHeight="1">
      <c r="A104" s="113" t="inlineStr">
        <is>
          <t>RBAC-28</t>
        </is>
      </c>
      <c r="B104" s="114" t="inlineStr">
        <is>
          <t>P2</t>
        </is>
      </c>
      <c r="C104" s="113" t="inlineStr">
        <is>
          <t>L</t>
        </is>
      </c>
      <c r="D104" s="113" t="inlineStr">
        <is>
          <t>SSO (Google + Microsoft OAuth)</t>
        </is>
      </c>
      <c r="E104" s="114" t="inlineStr">
        <is>
          <t>No</t>
        </is>
      </c>
      <c r="F104" s="113" t="inlineStr">
        <is>
          <t>RBAC-12</t>
        </is>
      </c>
      <c r="G104" s="113" t="inlineStr">
        <is>
          <t>Auth</t>
        </is>
      </c>
      <c r="H104" s="113" t="inlineStr">
        <is>
          <t>Sprint 4</t>
        </is>
      </c>
      <c r="I104" s="113" t="inlineStr">
        <is>
          <t>Add /auth/oauth/{provider}/start + callback. Map OAuth email to user via membership lookup. Handle first-time users (auto-provision if tenant allows). Accept: user with matching email can sign in with Google.</t>
        </is>
      </c>
    </row>
    <row r="105" ht="76" customHeight="1">
      <c r="A105" s="113" t="inlineStr">
        <is>
          <t>RBAC-29</t>
        </is>
      </c>
      <c r="B105" s="114" t="inlineStr">
        <is>
          <t>P2</t>
        </is>
      </c>
      <c r="C105" s="113" t="inlineStr">
        <is>
          <t>M</t>
        </is>
      </c>
      <c r="D105" s="113" t="inlineStr">
        <is>
          <t>Per-user API keys</t>
        </is>
      </c>
      <c r="E105" s="114" t="inlineStr">
        <is>
          <t>No</t>
        </is>
      </c>
      <c r="F105" s="113" t="inlineStr">
        <is>
          <t>-</t>
        </is>
      </c>
      <c r="G105" s="113" t="inlineStr">
        <is>
          <t>Programmatic</t>
        </is>
      </c>
      <c r="H105" s="113" t="inlineStr">
        <is>
          <t>Sprint 4</t>
        </is>
      </c>
      <c r="I105" s="113" t="inlineStr">
        <is>
          <t>New api_keys collection: {user_id, tenant_id, name, prefix, hash, scopes, created_at, last_used_at}. UI to create/revoke. Bearer-token auth reads api_key instead of JWT. Rate limits per key. Accept: script hits /tasks with key, works, revoke kills it.</t>
        </is>
      </c>
    </row>
    <row r="106" ht="76" customHeight="1">
      <c r="A106" s="113" t="inlineStr">
        <is>
          <t>RBAC-30</t>
        </is>
      </c>
      <c r="B106" s="114" t="inlineStr">
        <is>
          <t>P2</t>
        </is>
      </c>
      <c r="C106" s="113" t="inlineStr">
        <is>
          <t>L</t>
        </is>
      </c>
      <c r="D106" s="113" t="inlineStr">
        <is>
          <t>Client/customer read-only portal</t>
        </is>
      </c>
      <c r="E106" s="114" t="inlineStr">
        <is>
          <t>No</t>
        </is>
      </c>
      <c r="F106" s="113" t="inlineStr">
        <is>
          <t>-</t>
        </is>
      </c>
      <c r="G106" s="113" t="inlineStr">
        <is>
          <t>UX</t>
        </is>
      </c>
      <c r="H106" s="113" t="inlineStr">
        <is>
          <t>Sprint 5</t>
        </is>
      </c>
      <c r="I106" s="113" t="inlineStr">
        <is>
          <t>Share a workflow (procurement order, complaint) with an external email via a signed link. Recipient sees status timeline + can add comments, no login. Accept: customer email link opens read-only page; commenting works without account.</t>
        </is>
      </c>
    </row>
    <row r="108" ht="26" customHeight="1">
      <c r="A108" s="109" t="inlineStr">
        <is>
          <t>4. Test matrix — every RBAC item's exit criteria</t>
        </is>
      </c>
    </row>
    <row r="109" ht="32" customHeight="1">
      <c r="A109" s="110" t="inlineStr">
        <is>
          <t>The test SHAPE we owe alongside each backlog item. Unit tests + integration tests + cross-role matrix.</t>
        </is>
      </c>
    </row>
    <row r="111" ht="22" customHeight="1">
      <c r="A111" s="112" t="inlineStr">
        <is>
          <t>#</t>
        </is>
      </c>
      <c r="B111" s="112" t="inlineStr">
        <is>
          <t>Test type</t>
        </is>
      </c>
      <c r="C111" s="112" t="inlineStr">
        <is>
          <t>What it verifies</t>
        </is>
      </c>
      <c r="D111" s="112" t="inlineStr">
        <is>
          <t>Scope</t>
        </is>
      </c>
      <c r="E111" s="112" t="inlineStr">
        <is>
          <t>Backlog items covered</t>
        </is>
      </c>
      <c r="F111" s="112" t="inlineStr"/>
      <c r="G111" s="112" t="inlineStr"/>
      <c r="H111" s="112" t="inlineStr"/>
      <c r="I111" s="112" t="inlineStr">
        <is>
          <t>Exit criteria</t>
        </is>
      </c>
    </row>
    <row r="112" ht="60" customHeight="1">
      <c r="A112" s="113" t="inlineStr">
        <is>
          <t>T1</t>
        </is>
      </c>
      <c r="B112" s="113" t="inlineStr">
        <is>
          <t>Cross-role permission matrix</t>
        </is>
      </c>
      <c r="C112" s="113" t="inlineStr">
        <is>
          <t>Every endpoint x every default role = expected 200/403. Parameterize via a role_endpoint_matrix.json fixture.</t>
        </is>
      </c>
      <c r="D112" s="113" t="inlineStr">
        <is>
          <t>All routers</t>
        </is>
      </c>
      <c r="E112" s="113" t="inlineStr">
        <is>
          <t>RBAC-04..11, 14, 15, 16</t>
        </is>
      </c>
      <c r="F112" s="119" t="n"/>
      <c r="G112" s="119" t="n"/>
      <c r="H112" s="120" t="n"/>
      <c r="I112" s="113" t="inlineStr">
        <is>
          <t>100% pass on the matrix. New route = new row in the matrix (enforced by a test that greps for @router decorators).</t>
        </is>
      </c>
    </row>
    <row r="113" ht="60" customHeight="1">
      <c r="A113" s="113" t="inlineStr">
        <is>
          <t>T2</t>
        </is>
      </c>
      <c r="B113" s="113" t="inlineStr">
        <is>
          <t>Multi-tenant membership integration test</t>
        </is>
      </c>
      <c r="C113" s="113" t="inlineStr">
        <is>
          <t>Same email registered in 2 tenants can list both workspaces, switch, and see only that workspace's data.</t>
        </is>
      </c>
      <c r="D113" s="113" t="inlineStr">
        <is>
          <t>auth + team</t>
        </is>
      </c>
      <c r="E113" s="113" t="inlineStr">
        <is>
          <t>RBAC-12, 13</t>
        </is>
      </c>
      <c r="F113" s="119" t="n"/>
      <c r="G113" s="119" t="n"/>
      <c r="H113" s="120" t="n"/>
      <c r="I113" s="113" t="inlineStr">
        <is>
          <t>Test creates user X in tenant A and B, verifies /me/workspaces returns both, /tasks in A does not leak B.</t>
        </is>
      </c>
    </row>
    <row r="114" ht="60" customHeight="1">
      <c r="A114" s="113" t="inlineStr">
        <is>
          <t>T3</t>
        </is>
      </c>
      <c r="B114" s="113" t="inlineStr">
        <is>
          <t>Invite lifecycle test</t>
        </is>
      </c>
      <c r="C114" s="113" t="inlineStr">
        <is>
          <t>Invite -&gt; pending -&gt; accept -&gt; active. Also: invite -&gt; revoke -&gt; cannot verify. Also: invite expiry.</t>
        </is>
      </c>
      <c r="D114" s="113" t="inlineStr">
        <is>
          <t>auth</t>
        </is>
      </c>
      <c r="E114" s="113" t="inlineStr">
        <is>
          <t>RBAC-17</t>
        </is>
      </c>
      <c r="F114" s="119" t="n"/>
      <c r="G114" s="119" t="n"/>
      <c r="H114" s="120" t="n"/>
      <c r="I114" s="113" t="inlineStr">
        <is>
          <t>All 3 paths pass.</t>
        </is>
      </c>
    </row>
    <row r="115" ht="60" customHeight="1">
      <c r="A115" s="113" t="inlineStr">
        <is>
          <t>T4</t>
        </is>
      </c>
      <c r="B115" s="113" t="inlineStr">
        <is>
          <t>Draft-URL signing test</t>
        </is>
      </c>
      <c r="C115" s="113" t="inlineStr">
        <is>
          <t>Guessing a draft_id without the signature = 401. Correct signature = 200. Expired signature = 401.</t>
        </is>
      </c>
      <c r="D115" s="113" t="inlineStr">
        <is>
          <t>onboarding</t>
        </is>
      </c>
      <c r="E115" s="113" t="inlineStr">
        <is>
          <t>RBAC-01</t>
        </is>
      </c>
      <c r="F115" s="119" t="n"/>
      <c r="G115" s="119" t="n"/>
      <c r="H115" s="120" t="n"/>
      <c r="I115" s="113" t="inlineStr">
        <is>
          <t>All 3 cases + rate-limit test.</t>
        </is>
      </c>
    </row>
    <row r="116" ht="60" customHeight="1">
      <c r="A116" s="113" t="inlineStr">
        <is>
          <t>T5</t>
        </is>
      </c>
      <c r="B116" s="113" t="inlineStr">
        <is>
          <t>CAPTCHA/rate-limit test</t>
        </is>
      </c>
      <c r="C116" s="113" t="inlineStr">
        <is>
          <t>11th register call from same IP in an hour = 429. CAPTCHA missing = 401.</t>
        </is>
      </c>
      <c r="D116" s="113" t="inlineStr">
        <is>
          <t>register + signup AI</t>
        </is>
      </c>
      <c r="E116" s="113" t="inlineStr">
        <is>
          <t>RBAC-02, 03</t>
        </is>
      </c>
      <c r="F116" s="119" t="n"/>
      <c r="G116" s="119" t="n"/>
      <c r="H116" s="120" t="n"/>
      <c r="I116" s="113" t="inlineStr">
        <is>
          <t>Bot simulation blocked at expected threshold.</t>
        </is>
      </c>
    </row>
    <row r="117" ht="60" customHeight="1">
      <c r="A117" s="113" t="inlineStr">
        <is>
          <t>T6</t>
        </is>
      </c>
      <c r="B117" s="113" t="inlineStr">
        <is>
          <t>SSRF guard test</t>
        </is>
      </c>
      <c r="C117" s="113" t="inlineStr">
        <is>
          <t>/website-intel called with private-IP URL (localhost, 169.254.x.x, 10.x, 192.168.x) = 400.</t>
        </is>
      </c>
      <c r="D117" s="113" t="inlineStr">
        <is>
          <t>signup</t>
        </is>
      </c>
      <c r="E117" s="113" t="inlineStr">
        <is>
          <t>RBAC-03</t>
        </is>
      </c>
      <c r="F117" s="119" t="n"/>
      <c r="G117" s="119" t="n"/>
      <c r="H117" s="120" t="n"/>
      <c r="I117" s="113" t="inlineStr">
        <is>
          <t>All private ranges blocked.</t>
        </is>
      </c>
    </row>
    <row r="118" ht="60" customHeight="1">
      <c r="A118" s="113" t="inlineStr">
        <is>
          <t>T7</t>
        </is>
      </c>
      <c r="B118" s="113" t="inlineStr">
        <is>
          <t>Audit-log append-only test</t>
        </is>
      </c>
      <c r="C118" s="113" t="inlineStr">
        <is>
          <t>Every mutating endpoint writes an audit row. Audit row cannot be updated or deleted via any API. Audit row includes before+after diff.</t>
        </is>
      </c>
      <c r="D118" s="113" t="inlineStr">
        <is>
          <t>audit_log middleware</t>
        </is>
      </c>
      <c r="E118" s="113" t="inlineStr">
        <is>
          <t>RBAC-20</t>
        </is>
      </c>
      <c r="F118" s="119" t="n"/>
      <c r="G118" s="119" t="n"/>
      <c r="H118" s="120" t="n"/>
      <c r="I118" s="113" t="inlineStr">
        <is>
          <t>Random-sampled 20 mutating endpoints all leave audit trails.</t>
        </is>
      </c>
    </row>
    <row r="119" ht="60" customHeight="1">
      <c r="A119" s="113" t="inlineStr">
        <is>
          <t>T8</t>
        </is>
      </c>
      <c r="B119" s="113" t="inlineStr">
        <is>
          <t>Session revocation UX test</t>
        </is>
      </c>
      <c r="C119" s="113" t="inlineStr">
        <is>
          <t>User with 3 sessions revokes one -&gt; that jti gets 401 next request; other 2 still work. Revoke-all keeps current session alive.</t>
        </is>
      </c>
      <c r="D119" s="113" t="inlineStr">
        <is>
          <t>session mgmt</t>
        </is>
      </c>
      <c r="E119" s="113" t="inlineStr">
        <is>
          <t>RBAC-21</t>
        </is>
      </c>
      <c r="F119" s="119" t="n"/>
      <c r="G119" s="119" t="n"/>
      <c r="H119" s="120" t="n"/>
      <c r="I119" s="113" t="inlineStr">
        <is>
          <t>All 3 flows pass.</t>
        </is>
      </c>
    </row>
    <row r="120" ht="60" customHeight="1">
      <c r="A120" s="113" t="inlineStr">
        <is>
          <t>T9</t>
        </is>
      </c>
      <c r="B120" s="113" t="inlineStr">
        <is>
          <t>Deprovisioning idempotency test</t>
        </is>
      </c>
      <c r="C120" s="113" t="inlineStr">
        <is>
          <t>Deprovision user U. Verify: all sessions revoked, tasks reassigned, decisions transferred, contacts reassigned, invite tokens killed. Running deprovision again is a no-op.</t>
        </is>
      </c>
      <c r="D120" s="113" t="inlineStr">
        <is>
          <t>team</t>
        </is>
      </c>
      <c r="E120" s="113" t="inlineStr">
        <is>
          <t>RBAC-22</t>
        </is>
      </c>
      <c r="F120" s="119" t="n"/>
      <c r="G120" s="119" t="n"/>
      <c r="H120" s="120" t="n"/>
      <c r="I120" s="113" t="inlineStr">
        <is>
          <t>Zero owned entities remain; second call returns 'already deprovisioned' cleanly.</t>
        </is>
      </c>
    </row>
    <row r="121" ht="60" customHeight="1">
      <c r="A121" s="113" t="inlineStr">
        <is>
          <t>T10</t>
        </is>
      </c>
      <c r="B121" s="113" t="inlineStr">
        <is>
          <t>2FA enrollment + login test</t>
        </is>
      </c>
      <c r="C121" s="113" t="inlineStr">
        <is>
          <t>Enroll -&gt; confirm with valid TOTP -&gt; login requires TOTP -&gt; backup code works -&gt; lockout after N bad TOTPs.</t>
        </is>
      </c>
      <c r="D121" s="113" t="inlineStr">
        <is>
          <t>auth</t>
        </is>
      </c>
      <c r="E121" s="113" t="inlineStr">
        <is>
          <t>RBAC-23</t>
        </is>
      </c>
      <c r="F121" s="119" t="n"/>
      <c r="G121" s="119" t="n"/>
      <c r="H121" s="120" t="n"/>
      <c r="I121" s="113" t="inlineStr">
        <is>
          <t>All 4 flows pass.</t>
        </is>
      </c>
    </row>
    <row r="122" ht="60" customHeight="1">
      <c r="A122" s="113" t="inlineStr">
        <is>
          <t>T11</t>
        </is>
      </c>
      <c r="B122" s="113" t="inlineStr">
        <is>
          <t>Consent-gate test</t>
        </is>
      </c>
      <c r="C122" s="113" t="inlineStr">
        <is>
          <t>Fresh tenant hitting /ask before consent = 403 with 'consent_required'. After consent = 200. Consent revocation blocks subsequent AI calls.</t>
        </is>
      </c>
      <c r="D122" s="113" t="inlineStr">
        <is>
          <t>AI endpoints</t>
        </is>
      </c>
      <c r="E122" s="113" t="inlineStr">
        <is>
          <t>RBAC-25</t>
        </is>
      </c>
      <c r="F122" s="119" t="n"/>
      <c r="G122" s="119" t="n"/>
      <c r="H122" s="120" t="n"/>
      <c r="I122" s="113" t="inlineStr">
        <is>
          <t>3 states all pass.</t>
        </is>
      </c>
    </row>
    <row r="123" ht="60" customHeight="1">
      <c r="A123" s="113" t="inlineStr">
        <is>
          <t>T12</t>
        </is>
      </c>
      <c r="B123" s="113" t="inlineStr">
        <is>
          <t>Custom-role-permission propagation test</t>
        </is>
      </c>
      <c r="C123" s="113" t="inlineStr">
        <is>
          <t>Edit 'warehouse_manager' role to add 'finance'. Existing warehouse_manager user immediately gets /ledger access without editing their user record.</t>
        </is>
      </c>
      <c r="D123" s="113" t="inlineStr">
        <is>
          <t>team + core</t>
        </is>
      </c>
      <c r="E123" s="113" t="inlineStr">
        <is>
          <t>RBAC-14</t>
        </is>
      </c>
      <c r="F123" s="119" t="n"/>
      <c r="G123" s="119" t="n"/>
      <c r="H123" s="120" t="n"/>
      <c r="I123" s="113" t="inlineStr">
        <is>
          <t>Propagation confirmed on next request.</t>
        </is>
      </c>
    </row>
    <row r="124" ht="60" customHeight="1">
      <c r="A124" s="113" t="inlineStr">
        <is>
          <t>T13</t>
        </is>
      </c>
      <c r="B124" s="113" t="inlineStr">
        <is>
          <t>Owner-exclusion test</t>
        </is>
      </c>
      <c r="C124" s="113" t="inlineStr">
        <is>
          <t>Owner with finance in owner_exclusions gets 403 on /ledger endpoints. All other owner privileges intact.</t>
        </is>
      </c>
      <c r="D124" s="113" t="inlineStr">
        <is>
          <t>core</t>
        </is>
      </c>
      <c r="E124" s="113" t="inlineStr">
        <is>
          <t>RBAC-15</t>
        </is>
      </c>
      <c r="F124" s="119" t="n"/>
      <c r="G124" s="119" t="n"/>
      <c r="H124" s="120" t="n"/>
      <c r="I124" s="113" t="inlineStr">
        <is>
          <t>One denied endpoint + one allowed endpoint confirm behavior.</t>
        </is>
      </c>
    </row>
    <row r="126" ht="26" customHeight="1">
      <c r="A126" s="109" t="inlineStr">
        <is>
          <t>5. Sequencing — what to ship first</t>
        </is>
      </c>
    </row>
    <row r="127" ht="32" customHeight="1">
      <c r="A127" s="110" t="inlineStr">
        <is>
          <t>Do NOT do 30 items in parallel. Order matters: data model changes (RBAC-12/13) unblock the endpoint gates that check them.</t>
        </is>
      </c>
    </row>
    <row r="129" ht="20" customHeight="1">
      <c r="A129" s="111" t="inlineStr">
        <is>
          <t>Recommended order</t>
        </is>
      </c>
    </row>
    <row r="130" ht="34" customHeight="1">
      <c r="A130" s="117" t="inlineStr">
        <is>
          <t>Wave 1 — Endpoint P0s (fast wins, no model changes)</t>
        </is>
      </c>
      <c r="C130" s="118" t="inlineStr">
        <is>
          <t>RBAC-01, 02, 03. Ships this week. Closes the obvious public exposures. ~2 days.</t>
        </is>
      </c>
    </row>
    <row r="131" ht="34" customHeight="1">
      <c r="A131" s="117" t="inlineStr">
        <is>
          <t>Wave 2 — Data-model refactor (the big one)</t>
        </is>
      </c>
      <c r="C131" s="118" t="inlineStr">
        <is>
          <t>RBAC-12 + RBAC-13 together. Introduces memberships collection, moves email to per-tenant unique. ~1 week including migration + full-suite regression. BLOCKS Wave 3.</t>
        </is>
      </c>
    </row>
    <row r="132" ht="34" customHeight="1">
      <c r="A132" s="117" t="inlineStr">
        <is>
          <t>Wave 3 — Endpoint P1s + role editor</t>
        </is>
      </c>
      <c r="C132" s="118" t="inlineStr">
        <is>
          <t>RBAC-04..11, 14, 15, 16, 17. Batchable. ~1 week.</t>
        </is>
      </c>
    </row>
    <row r="133" ht="34" customHeight="1">
      <c r="A133" s="117" t="inlineStr">
        <is>
          <t>Wave 4 — Audit + session + off-boarding P0s</t>
        </is>
      </c>
      <c r="C133" s="118" t="inlineStr">
        <is>
          <t>RBAC-20, 21, 22. ~1 week. These are what make the product feel enterprise-safe.</t>
        </is>
      </c>
    </row>
    <row r="134" ht="34" customHeight="1">
      <c r="A134" s="117" t="inlineStr">
        <is>
          <t>Wave 5 — Advanced (Sprint 3+)</t>
        </is>
      </c>
      <c r="C134" s="118" t="inlineStr">
        <is>
          <t>RBAC-18, 19, 23-30. Sprint 3 (billing) + Sprint 4 (agentic + admin). Individual items scheduled during those sprints.</t>
        </is>
      </c>
    </row>
  </sheetData>
  <mergeCells count="87">
    <mergeCell ref="F18:H18"/>
    <mergeCell ref="A108:I108"/>
    <mergeCell ref="F8:H8"/>
    <mergeCell ref="E40:G40"/>
    <mergeCell ref="D68:G68"/>
    <mergeCell ref="A2:I2"/>
    <mergeCell ref="F22:H22"/>
    <mergeCell ref="E57:G57"/>
    <mergeCell ref="A126:I126"/>
    <mergeCell ref="F9:H9"/>
    <mergeCell ref="A109:I109"/>
    <mergeCell ref="F14:H14"/>
    <mergeCell ref="A48:I48"/>
    <mergeCell ref="A59:I59"/>
    <mergeCell ref="D70:G70"/>
    <mergeCell ref="E42:G42"/>
    <mergeCell ref="F12:H12"/>
    <mergeCell ref="E44:G44"/>
    <mergeCell ref="F21:H21"/>
    <mergeCell ref="D62:G62"/>
    <mergeCell ref="E119:H119"/>
    <mergeCell ref="D71:G71"/>
    <mergeCell ref="E116:H116"/>
    <mergeCell ref="E113:H113"/>
    <mergeCell ref="D64:G64"/>
    <mergeCell ref="A74:I74"/>
    <mergeCell ref="E115:H115"/>
    <mergeCell ref="E46:G46"/>
    <mergeCell ref="A129:I129"/>
    <mergeCell ref="F27:H27"/>
    <mergeCell ref="E122:H122"/>
    <mergeCell ref="E54:G54"/>
    <mergeCell ref="E41:G41"/>
    <mergeCell ref="E56:G56"/>
    <mergeCell ref="A34:I34"/>
    <mergeCell ref="E43:G43"/>
    <mergeCell ref="F29:H29"/>
    <mergeCell ref="F11:H11"/>
    <mergeCell ref="A131:B131"/>
    <mergeCell ref="C133:I133"/>
    <mergeCell ref="D61:G61"/>
    <mergeCell ref="A1:I1"/>
    <mergeCell ref="E124:H124"/>
    <mergeCell ref="F23:H23"/>
    <mergeCell ref="C131:I131"/>
    <mergeCell ref="E36:G36"/>
    <mergeCell ref="F13:H13"/>
    <mergeCell ref="E45:G45"/>
    <mergeCell ref="A32:I32"/>
    <mergeCell ref="E121:H121"/>
    <mergeCell ref="A133:B133"/>
    <mergeCell ref="D63:G63"/>
    <mergeCell ref="E117:H117"/>
    <mergeCell ref="A4:I4"/>
    <mergeCell ref="E123:H123"/>
    <mergeCell ref="D65:G65"/>
    <mergeCell ref="E37:G37"/>
    <mergeCell ref="E118:H118"/>
    <mergeCell ref="E114:H114"/>
    <mergeCell ref="D66:G66"/>
    <mergeCell ref="A6:I6"/>
    <mergeCell ref="C130:I130"/>
    <mergeCell ref="E51:G51"/>
    <mergeCell ref="A16:I16"/>
    <mergeCell ref="F20:H20"/>
    <mergeCell ref="A25:I25"/>
    <mergeCell ref="A130:B130"/>
    <mergeCell ref="E120:H120"/>
    <mergeCell ref="A132:B132"/>
    <mergeCell ref="D67:G67"/>
    <mergeCell ref="E112:H112"/>
    <mergeCell ref="F28:H28"/>
    <mergeCell ref="D69:G69"/>
    <mergeCell ref="E53:G53"/>
    <mergeCell ref="A127:I127"/>
    <mergeCell ref="E50:G50"/>
    <mergeCell ref="A31:I31"/>
    <mergeCell ref="C134:I134"/>
    <mergeCell ref="E55:G55"/>
    <mergeCell ref="F10:H10"/>
    <mergeCell ref="A73:I73"/>
    <mergeCell ref="F19:H19"/>
    <mergeCell ref="E52:G52"/>
    <mergeCell ref="A134:B134"/>
    <mergeCell ref="E39:G39"/>
    <mergeCell ref="C132:I132"/>
    <mergeCell ref="E38:G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4" customWidth="1" min="3" max="3"/>
    <col width="12" customWidth="1" min="4" max="4"/>
  </cols>
  <sheetData>
    <row r="1">
      <c r="A1" s="61" t="inlineStr">
        <is>
          <t>Final Go-Live Checklist — before selling as SaaS at scale</t>
        </is>
      </c>
    </row>
    <row r="2">
      <c r="A2" s="15" t="inlineStr">
        <is>
          <t>Set Done? to TRUE only when verified, not just coded. Row 24 gives the overall verdict.</t>
        </is>
      </c>
    </row>
    <row r="4">
      <c r="A4" s="85" t="inlineStr">
        <is>
          <t>Area</t>
        </is>
      </c>
      <c r="B4" s="85" t="inlineStr">
        <is>
          <t>Checklist item</t>
        </is>
      </c>
      <c r="C4" s="85" t="inlineStr">
        <is>
          <t>Verified in</t>
        </is>
      </c>
      <c r="D4" s="85" t="inlineStr">
        <is>
          <t>Done?</t>
        </is>
      </c>
    </row>
    <row r="5" ht="28" customHeight="1">
      <c r="A5" s="86" t="inlineStr">
        <is>
          <t>Security</t>
        </is>
      </c>
      <c r="B5" s="22" t="inlineStr">
        <is>
          <t>All Sprint 0 P0 items closed and verified (not just coded)</t>
        </is>
      </c>
      <c r="C5" s="87" t="inlineStr">
        <is>
          <t>Sprint 0</t>
        </is>
      </c>
      <c r="D5" s="88" t="inlineStr">
        <is>
          <t>FALSE</t>
        </is>
      </c>
    </row>
    <row r="6" ht="28" customHeight="1">
      <c r="A6" s="86" t="inlineStr">
        <is>
          <t>Security</t>
        </is>
      </c>
      <c r="B6" s="22" t="inlineStr">
        <is>
          <t>Secrets rotated out of .env into a real secrets manager</t>
        </is>
      </c>
      <c r="C6" s="89" t="inlineStr">
        <is>
          <t>Sprint 5</t>
        </is>
      </c>
      <c r="D6" s="88" t="inlineStr">
        <is>
          <t>FALSE</t>
        </is>
      </c>
    </row>
    <row r="7" ht="28" customHeight="1">
      <c r="A7" s="86" t="inlineStr">
        <is>
          <t>Scale</t>
        </is>
      </c>
      <c r="B7" s="22" t="inlineStr">
        <is>
          <t>Follow-up scheduler runs as a single external job, not in-process</t>
        </is>
      </c>
      <c r="C7" s="90" t="inlineStr">
        <is>
          <t>Sprint 1 | FIX-002-D (scheduler_locks TTL leader lock, single-fire under N replicas)</t>
        </is>
      </c>
      <c r="D7" s="104" t="inlineStr">
        <is>
          <t>TRUE</t>
        </is>
      </c>
    </row>
    <row r="8" ht="28" customHeight="1">
      <c r="A8" s="86" t="inlineStr">
        <is>
          <t>Scale</t>
        </is>
      </c>
      <c r="B8" s="22" t="inlineStr">
        <is>
          <t>All file uploads route through obj_store; local-disk path removed</t>
        </is>
      </c>
      <c r="C8" s="90" t="inlineStr">
        <is>
          <t>Sprint 1 | FIX-002-E (voice notes / meetings / ledger / ingestions all obj_store)</t>
        </is>
      </c>
      <c r="D8" s="104" t="inlineStr">
        <is>
          <t>TRUE</t>
        </is>
      </c>
    </row>
    <row r="9" ht="28" customHeight="1">
      <c r="A9" s="86" t="inlineStr">
        <is>
          <t>Scale</t>
        </is>
      </c>
      <c r="B9" s="22" t="inlineStr">
        <is>
          <t>Real Dockerfile/Procfile committed with pinned worker count</t>
        </is>
      </c>
      <c r="C9" s="90" t="inlineStr">
        <is>
          <t>Sprint 1 | FIX-002-F (multi-stage Docker + Procfile + .dockerignore, 25 static tests)</t>
        </is>
      </c>
      <c r="D9" s="104" t="inlineStr">
        <is>
          <t>TRUE</t>
        </is>
      </c>
    </row>
    <row r="10" ht="28" customHeight="1">
      <c r="A10" s="86" t="inlineStr">
        <is>
          <t>Scale</t>
        </is>
      </c>
      <c r="B10" s="22" t="inlineStr">
        <is>
          <t>LLM calls have timeouts + a concurrency limit</t>
        </is>
      </c>
      <c r="C10" s="90" t="inlineStr">
        <is>
          <t>Sprint 1 | FIX-002-B (guarded_llm: asyncio.wait_for + semaphore)</t>
        </is>
      </c>
      <c r="D10" s="104" t="inlineStr">
        <is>
          <t>TRUE</t>
        </is>
      </c>
    </row>
    <row r="11" ht="28" customHeight="1">
      <c r="A11" s="86" t="inlineStr">
        <is>
          <t>Multi-tenant</t>
        </is>
      </c>
      <c r="B11" s="22" t="inlineStr">
        <is>
          <t>Dynamic workflow approval loop works for a non-textile tenant</t>
        </is>
      </c>
      <c r="C11" s="90" t="inlineStr">
        <is>
          <t>Sprint 1 | FIX-001-A + FIX-001-F (tenant_procurement_pipeline + tenant_terminal_stages)</t>
        </is>
      </c>
      <c r="D11" s="104" t="inlineStr">
        <is>
          <t>TRUE</t>
        </is>
      </c>
    </row>
    <row r="12" ht="28" customHeight="1">
      <c r="A12" s="86" t="inlineStr">
        <is>
          <t>Multi-tenant</t>
        </is>
      </c>
      <c r="B12" s="22" t="inlineStr">
        <is>
          <t>OTP login + WhatsApp routing are tenant-scoped</t>
        </is>
      </c>
      <c r="C12" s="91" t="inlineStr">
        <is>
          <t>Sprint 2 | FIX-003-A (otp_codes keyed by (phone,tenant_id) + cross-tenant WA safety)</t>
        </is>
      </c>
      <c r="D12" s="104" t="inlineStr">
        <is>
          <t>TRUE</t>
        </is>
      </c>
    </row>
    <row r="13" ht="28" customHeight="1">
      <c r="A13" s="86" t="inlineStr">
        <is>
          <t>Multi-tenant</t>
        </is>
      </c>
      <c r="B13" s="22" t="inlineStr">
        <is>
          <t>Tenant deletion removes ALL tenant data incl. files</t>
        </is>
      </c>
      <c r="C13" s="91" t="inlineStr">
        <is>
          <t>Sprint 2 | FIX-001-E (TENANT_COLLECTIONS wipe + obj_store delete_object)</t>
        </is>
      </c>
      <c r="D13" s="104" t="inlineStr">
        <is>
          <t>TRUE</t>
        </is>
      </c>
    </row>
    <row r="14" ht="28" customHeight="1">
      <c r="A14" s="86" t="inlineStr">
        <is>
          <t>Billing</t>
        </is>
      </c>
      <c r="B14" s="22" t="inlineStr">
        <is>
          <t>Real payment provider integrated (Stripe/Razorpay)</t>
        </is>
      </c>
      <c r="C14" s="92" t="inlineStr">
        <is>
          <t>Sprint 3</t>
        </is>
      </c>
      <c r="D14" s="88" t="inlineStr">
        <is>
          <t>FALSE</t>
        </is>
      </c>
    </row>
    <row r="15" ht="28" customHeight="1">
      <c r="A15" s="86" t="inlineStr">
        <is>
          <t>Billing</t>
        </is>
      </c>
      <c r="B15" s="22" t="inlineStr">
        <is>
          <t>Per-tenant AI key isolation with usage quota enforcement</t>
        </is>
      </c>
      <c r="C15" s="92" t="inlineStr">
        <is>
          <t>Sprint 3 | FIX-005-A (afbf9b8) — services/tenant_ai_keys.resolve_ai_key + services/plans.py | FIX-005-B (29d2238) — services/quotas.py + guarded_llm enforcement + /tenant/usage endpoint</t>
        </is>
      </c>
      <c r="D15" s="104" t="inlineStr">
        <is>
          <t>TRUE</t>
        </is>
      </c>
    </row>
    <row r="16" ht="28" customHeight="1">
      <c r="A16" s="86" t="inlineStr">
        <is>
          <t>Billing</t>
        </is>
      </c>
      <c r="B16" s="22" t="inlineStr">
        <is>
          <t>Plan / entitlement fields exist on every tenant</t>
        </is>
      </c>
      <c r="C16" s="92" t="inlineStr">
        <is>
          <t>Sprint 3 | FIX-005-A (afbf9b8) — services/tenant_ai_keys.resolve_ai_key + services/plans.py</t>
        </is>
      </c>
      <c r="D16" s="104" t="inlineStr">
        <is>
          <t>TRUE</t>
        </is>
      </c>
    </row>
    <row r="17" ht="28" customHeight="1">
      <c r="A17" s="86" t="inlineStr">
        <is>
          <t>Ops</t>
        </is>
      </c>
      <c r="B17" s="22" t="inlineStr">
        <is>
          <t>Staging environment mirrors production</t>
        </is>
      </c>
      <c r="C17" s="89" t="inlineStr">
        <is>
          <t>Sprint 5</t>
        </is>
      </c>
      <c r="D17" s="88" t="inlineStr">
        <is>
          <t>FALSE</t>
        </is>
      </c>
    </row>
    <row r="18" ht="28" customHeight="1">
      <c r="A18" s="86" t="inlineStr">
        <is>
          <t>Ops</t>
        </is>
      </c>
      <c r="B18" s="22" t="inlineStr">
        <is>
          <t>Load test completed at ~100-tenant equivalent traffic</t>
        </is>
      </c>
      <c r="C18" s="89" t="inlineStr">
        <is>
          <t>Sprint 5</t>
        </is>
      </c>
      <c r="D18" s="88" t="inlineStr">
        <is>
          <t>FALSE</t>
        </is>
      </c>
    </row>
    <row r="19" ht="28" customHeight="1">
      <c r="A19" s="86" t="inlineStr">
        <is>
          <t>Ops</t>
        </is>
      </c>
      <c r="B19" s="22" t="inlineStr">
        <is>
          <t>Sentry / error tracking is live in production</t>
        </is>
      </c>
      <c r="C19" s="89" t="inlineStr">
        <is>
          <t>Sprint 5</t>
        </is>
      </c>
      <c r="D19" s="88" t="inlineStr">
        <is>
          <t>FALSE</t>
        </is>
      </c>
    </row>
    <row r="20" ht="28" customHeight="1">
      <c r="A20" s="86" t="inlineStr">
        <is>
          <t>Ops</t>
        </is>
      </c>
      <c r="B20" s="22" t="inlineStr">
        <is>
          <t>Backup restore has been TESTED, not just documented</t>
        </is>
      </c>
      <c r="C20" s="89" t="inlineStr">
        <is>
          <t>Sprint 5</t>
        </is>
      </c>
      <c r="D20" s="88" t="inlineStr">
        <is>
          <t>FALSE</t>
        </is>
      </c>
    </row>
    <row r="21" ht="28" customHeight="1">
      <c r="A21" s="86" t="inlineStr">
        <is>
          <t>Ops</t>
        </is>
      </c>
      <c r="B21" s="22" t="inlineStr">
        <is>
          <t>Data migration for all schema changes dry-run on staging</t>
        </is>
      </c>
      <c r="C21" s="89" t="inlineStr">
        <is>
          <t>Sprint 5</t>
        </is>
      </c>
      <c r="D21" s="88" t="inlineStr">
        <is>
          <t>FALSE</t>
        </is>
      </c>
    </row>
    <row r="22" ht="28" customHeight="1">
      <c r="A22" s="86" t="inlineStr">
        <is>
          <t>Ops</t>
        </is>
      </c>
      <c r="B22" s="22" t="inlineStr">
        <is>
          <t>Rollback procedure written and rehearsed</t>
        </is>
      </c>
      <c r="C22" s="89" t="inlineStr">
        <is>
          <t>Sprint 5</t>
        </is>
      </c>
      <c r="D22" s="88" t="inlineStr">
        <is>
          <t>FALSE</t>
        </is>
      </c>
    </row>
    <row r="23" ht="28" customHeight="1">
      <c r="A23" s="86" t="inlineStr">
        <is>
          <t>Ops</t>
        </is>
      </c>
      <c r="B23" s="22" t="inlineStr">
        <is>
          <t>Staged rollout plan approved (5-&gt;20-&gt;50-&gt;100)</t>
        </is>
      </c>
      <c r="C23" s="89" t="inlineStr">
        <is>
          <t>Sprint 5</t>
        </is>
      </c>
      <c r="D23" s="88" t="inlineStr">
        <is>
          <t>FALSE</t>
        </is>
      </c>
    </row>
    <row r="24" ht="28" customHeight="1">
      <c r="A24" s="86" t="inlineStr">
        <is>
          <t>Testing</t>
        </is>
      </c>
      <c r="B24" s="22" t="inlineStr">
        <is>
          <t>Every Testing Plan phase (A-J) hit its exit criteria, incl. Closed + Staged Beta</t>
        </is>
      </c>
      <c r="C24" s="93" t="inlineStr">
        <is>
          <t>Testing Plan</t>
        </is>
      </c>
      <c r="D24" s="88" t="inlineStr">
        <is>
          <t>FALSE</t>
        </is>
      </c>
    </row>
    <row r="25" ht="28" customHeight="1">
      <c r="A25" s="86" t="inlineStr">
        <is>
          <t>Sign-off</t>
        </is>
      </c>
      <c r="B25" s="22" t="inlineStr">
        <is>
          <t>Final go/no-go review held with the full team</t>
        </is>
      </c>
      <c r="C25" s="89" t="inlineStr">
        <is>
          <t>Sprint 5</t>
        </is>
      </c>
      <c r="D25" s="88" t="inlineStr">
        <is>
          <t>FALSE</t>
        </is>
      </c>
    </row>
    <row r="27">
      <c r="A27" s="4" t="inlineStr">
        <is>
          <t>VERDICT</t>
        </is>
      </c>
      <c r="B27" s="19">
        <f>IF(COUNTIF(D5:D25,"TRUE")=COUNTA(D5:D25),"GO — cleared to sell as SaaS at scale","NOT YET — "&amp;(COUNTA(D5:D25)-COUNTIF(D5:D25,"TRUE"))&amp;" item(s) still open")</f>
        <v/>
      </c>
    </row>
  </sheetData>
  <mergeCells count="3">
    <mergeCell ref="A1:D1"/>
    <mergeCell ref="B27:D27"/>
    <mergeCell ref="A2:D2"/>
  </mergeCells>
  <conditionalFormatting sqref="D5:D25">
    <cfRule type="cellIs" priority="1" operator="equal" dxfId="0">
      <formula>"TRUE"</formula>
    </cfRule>
    <cfRule type="cellIs" priority="2" operator="equal" dxfId="1">
      <formula>"FALSE"</formula>
    </cfRule>
  </conditionalFormatting>
  <conditionalFormatting sqref="B27">
    <cfRule type="expression" priority="3" dxfId="0">
      <formula>COUNTIF($D$5:$D$25,"TRUE")=COUNTA($D$5:$D$25)</formula>
    </cfRule>
    <cfRule type="expression" priority="4" dxfId="1">
      <formula>COUNTIF($D$5:$D$25,"TRUE")&lt;COUNTA($D$5:$D$25)</formula>
    </cfRule>
  </conditionalFormatting>
  <dataValidations count="1">
    <dataValidation sqref="D5:D25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2026-08-04T14:03:48Z</dcterms:created>
  <dcterms:modified xmlns:dcterms="http://purl.org/dc/terms/" xmlns:xsi="http://www.w3.org/2001/XMLSchema-instance" xsi:type="dcterms:W3CDTF">2026-08-12T08:17:10Z</dcterms:modified>
</cp:coreProperties>
</file>