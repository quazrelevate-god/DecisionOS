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Task Backlog" sheetId="3" state="visible" r:id="rId3"/>
    <sheet name="Fix Log" sheetId="4" state="visible" r:id="rId4"/>
    <sheet name="Kanban Board" sheetId="5" state="visible" r:id="rId5"/>
    <sheet name="Testing Plan" sheetId="6" state="visible" r:id="rId6"/>
    <sheet name="Go-Live 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6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2">
      <c r="A12" s="4" t="inlineStr">
        <is>
          <t>Legend — Priority</t>
        </is>
      </c>
    </row>
    <row r="13">
      <c r="A13" s="7" t="inlineStr">
        <is>
          <t>P0</t>
        </is>
      </c>
      <c r="B13" s="8" t="inlineStr">
        <is>
          <t>Ship-blocker — must close before the next tenant / go-live gate it sits in</t>
        </is>
      </c>
    </row>
    <row r="14">
      <c r="A14" s="9" t="inlineStr">
        <is>
          <t>P1</t>
        </is>
      </c>
      <c r="B14" s="8" t="inlineStr">
        <is>
          <t>Fix before selling to a real customer — not an immediate blocker but close soon</t>
        </is>
      </c>
    </row>
    <row r="15">
      <c r="A15" s="10" t="inlineStr">
        <is>
          <t>P2</t>
        </is>
      </c>
      <c r="B15" s="8" t="inlineStr">
        <is>
          <t>Quality/hardening — schedule once P0/P1 are clear</t>
        </is>
      </c>
    </row>
    <row r="17">
      <c r="A17" s="4" t="inlineStr">
        <is>
          <t>Legend — Status</t>
        </is>
      </c>
    </row>
    <row r="18">
      <c r="A18" s="11" t="inlineStr">
        <is>
          <t>Backlog</t>
        </is>
      </c>
    </row>
    <row r="19">
      <c r="A19" s="12" t="inlineStr">
        <is>
          <t>To Do</t>
        </is>
      </c>
    </row>
    <row r="20">
      <c r="A20" s="13" t="inlineStr">
        <is>
          <t>In Progress</t>
        </is>
      </c>
    </row>
    <row r="21">
      <c r="A21" s="7" t="inlineStr">
        <is>
          <t>Blocked</t>
        </is>
      </c>
    </row>
    <row r="22">
      <c r="A22" s="9" t="inlineStr">
        <is>
          <t>In Review</t>
        </is>
      </c>
    </row>
    <row r="23">
      <c r="A23" s="14" t="inlineStr">
        <is>
          <t>Done</t>
        </is>
      </c>
    </row>
    <row r="25">
      <c r="A25" s="4" t="inlineStr">
        <is>
          <t>Cells to edit</t>
        </is>
      </c>
    </row>
    <row r="26" ht="45" customHeight="1">
      <c r="A26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Backlog'!A2:A54)</f>
        <v/>
      </c>
    </row>
    <row r="6">
      <c r="B6" s="16" t="inlineStr">
        <is>
          <t>Done</t>
        </is>
      </c>
      <c r="C6" s="17">
        <f>COUNTIF('Task Backlog'!J2:J54,"Done")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Backlog'!F2:F54,"P0",'Task Backlog'!J2:J54,"&lt;&gt;Done")</f>
        <v/>
      </c>
    </row>
    <row r="9">
      <c r="B9" s="16" t="inlineStr">
        <is>
          <t>Go-Live blockers still open</t>
        </is>
      </c>
      <c r="C9" s="17">
        <f>COUNTIFS('Task Backlog'!N2:N54,"Yes",'Task Backlog'!J2:J54,"&lt;&gt;Done")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Backlog'!B2:B54,"Sprint 0")</f>
        <v/>
      </c>
      <c r="F15" s="24">
        <f>COUNTIFS('Task Backlog'!B2:B54,"Sprint 0",'Task Backlog'!J2:J54,"Done")</f>
        <v/>
      </c>
      <c r="G15" s="25">
        <f>IFERROR(F15/E15,0)</f>
        <v/>
      </c>
      <c r="H15" s="24">
        <f>COUNTIFS('Task Backlog'!B2:B54,"Sprint 0",'Task Backlog'!F2:F54,"P0",'Task Backlog'!J2:J54,"&lt;&gt;Done")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Backlog'!B2:B54,"Sprint 1")</f>
        <v/>
      </c>
      <c r="F16" s="24">
        <f>COUNTIFS('Task Backlog'!B2:B54,"Sprint 1",'Task Backlog'!J2:J54,"Done")</f>
        <v/>
      </c>
      <c r="G16" s="25">
        <f>IFERROR(F16/E16,0)</f>
        <v/>
      </c>
      <c r="H16" s="24">
        <f>COUNTIFS('Task Backlog'!B2:B54,"Sprint 1",'Task Backlog'!F2:F54,"P0",'Task Backlog'!J2:J54,"&lt;&gt;Done")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Backlog'!B2:B54,"Sprint 2")</f>
        <v/>
      </c>
      <c r="F17" s="24">
        <f>COUNTIFS('Task Backlog'!B2:B54,"Sprint 2",'Task Backlog'!J2:J54,"Done")</f>
        <v/>
      </c>
      <c r="G17" s="25">
        <f>IFERROR(F17/E17,0)</f>
        <v/>
      </c>
      <c r="H17" s="24">
        <f>COUNTIFS('Task Backlog'!B2:B54,"Sprint 2",'Task Backlog'!F2:F54,"P0",'Task Backlog'!J2:J54,"&lt;&gt;Done")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Backlog'!B2:B54,"Sprint 3")</f>
        <v/>
      </c>
      <c r="F18" s="24">
        <f>COUNTIFS('Task Backlog'!B2:B54,"Sprint 3",'Task Backlog'!J2:J54,"Done")</f>
        <v/>
      </c>
      <c r="G18" s="25">
        <f>IFERROR(F18/E18,0)</f>
        <v/>
      </c>
      <c r="H18" s="24">
        <f>COUNTIFS('Task Backlog'!B2:B54,"Sprint 3",'Task Backlog'!F2:F54,"P0",'Task Backlog'!J2:J54,"&lt;&gt;Done")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Backlog'!B2:B54,"Sprint 4")</f>
        <v/>
      </c>
      <c r="F19" s="24">
        <f>COUNTIFS('Task Backlog'!B2:B54,"Sprint 4",'Task Backlog'!J2:J54,"Done")</f>
        <v/>
      </c>
      <c r="G19" s="25">
        <f>IFERROR(F19/E19,0)</f>
        <v/>
      </c>
      <c r="H19" s="24">
        <f>COUNTIFS('Task Backlog'!B2:B54,"Sprint 4",'Task Backlog'!F2:F54,"P0",'Task Backlog'!J2:J54,"&lt;&gt;Done")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Backlog'!B2:B54,"Sprint 5")</f>
        <v/>
      </c>
      <c r="F20" s="24">
        <f>COUNTIFS('Task Backlog'!B2:B54,"Sprint 5",'Task Backlog'!J2:J54,"Done")</f>
        <v/>
      </c>
      <c r="G20" s="25">
        <f>IFERROR(F20/E20,0)</f>
        <v/>
      </c>
      <c r="H20" s="24">
        <f>COUNTIFS('Task Backlog'!B2:B54,"Sprint 5",'Task Backlog'!F2:F54,"P0",'Task Backlog'!J2:J54,"&lt;&gt;Done")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37" t="inlineStr">
        <is>
          <t>Backlog</t>
        </is>
      </c>
      <c r="K12" s="103" t="inlineStr"/>
      <c r="L12" s="103" t="inlineStr"/>
      <c r="M12" s="103" t="inlineStr"/>
      <c r="N12" s="23" t="inlineStr">
        <is>
          <t>Yes</t>
        </is>
      </c>
      <c r="O12" s="22" t="inlineStr"/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37" t="inlineStr">
        <is>
          <t>Backlog</t>
        </is>
      </c>
      <c r="K13" s="103" t="inlineStr"/>
      <c r="L13" s="103" t="inlineStr"/>
      <c r="M13" s="103" t="inlineStr"/>
      <c r="N13" s="23" t="inlineStr">
        <is>
          <t>Yes</t>
        </is>
      </c>
      <c r="O13" s="22" t="inlineStr"/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37" t="inlineStr">
        <is>
          <t>Backlog</t>
        </is>
      </c>
      <c r="K14" s="103" t="inlineStr"/>
      <c r="L14" s="103" t="inlineStr"/>
      <c r="M14" s="103" t="inlineStr"/>
      <c r="N14" s="23" t="inlineStr">
        <is>
          <t>Yes</t>
        </is>
      </c>
      <c r="O14" s="22" t="inlineStr"/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37" t="inlineStr">
        <is>
          <t>Backlog</t>
        </is>
      </c>
      <c r="K15" s="103" t="inlineStr"/>
      <c r="L15" s="103" t="inlineStr"/>
      <c r="M15" s="103" t="inlineStr"/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37" t="inlineStr">
        <is>
          <t>Backlog</t>
        </is>
      </c>
      <c r="K16" s="103" t="inlineStr"/>
      <c r="L16" s="103" t="inlineStr"/>
      <c r="M16" s="103" t="inlineStr"/>
      <c r="N16" s="23" t="inlineStr">
        <is>
          <t>Yes</t>
        </is>
      </c>
      <c r="O16" s="22" t="inlineStr"/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37" t="inlineStr">
        <is>
          <t>Backlog</t>
        </is>
      </c>
      <c r="K17" s="103" t="inlineStr"/>
      <c r="L17" s="103" t="inlineStr"/>
      <c r="M17" s="103" t="inlineStr"/>
      <c r="N17" s="23" t="inlineStr">
        <is>
          <t>Yes</t>
        </is>
      </c>
      <c r="O17" s="22" t="inlineStr"/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37" t="inlineStr">
        <is>
          <t>Backlog</t>
        </is>
      </c>
      <c r="K18" s="103" t="inlineStr"/>
      <c r="L18" s="103" t="inlineStr"/>
      <c r="M18" s="103" t="inlineStr"/>
      <c r="N18" s="41" t="inlineStr">
        <is>
          <t>No</t>
        </is>
      </c>
      <c r="O18" s="22" t="inlineStr"/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37" t="inlineStr">
        <is>
          <t>Backlog</t>
        </is>
      </c>
      <c r="K19" s="103" t="inlineStr"/>
      <c r="L19" s="103" t="inlineStr"/>
      <c r="M19" s="103" t="inlineStr"/>
      <c r="N19" s="41" t="inlineStr">
        <is>
          <t>No</t>
        </is>
      </c>
      <c r="O19" s="22" t="inlineStr"/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37" t="inlineStr">
        <is>
          <t>Backlog</t>
        </is>
      </c>
      <c r="K20" s="103" t="inlineStr"/>
      <c r="L20" s="103" t="inlineStr"/>
      <c r="M20" s="103" t="inlineStr"/>
      <c r="N20" s="23" t="inlineStr">
        <is>
          <t>Yes</t>
        </is>
      </c>
      <c r="O20" s="22" t="inlineStr"/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37" t="inlineStr">
        <is>
          <t>Backlog</t>
        </is>
      </c>
      <c r="K21" s="103" t="inlineStr"/>
      <c r="L21" s="103" t="inlineStr"/>
      <c r="M21" s="103" t="inlineStr"/>
      <c r="N21" s="41" t="inlineStr">
        <is>
          <t>No</t>
        </is>
      </c>
      <c r="O21" s="22" t="inlineStr"/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37" t="inlineStr">
        <is>
          <t>Backlog</t>
        </is>
      </c>
      <c r="K22" s="103" t="inlineStr"/>
      <c r="L22" s="103" t="inlineStr"/>
      <c r="M22" s="103" t="inlineStr"/>
      <c r="N22" s="41" t="inlineStr">
        <is>
          <t>No</t>
        </is>
      </c>
      <c r="O22" s="22" t="inlineStr"/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37" t="inlineStr">
        <is>
          <t>Backlog</t>
        </is>
      </c>
      <c r="K23" s="103" t="inlineStr"/>
      <c r="L23" s="103" t="inlineStr"/>
      <c r="M23" s="103" t="inlineStr"/>
      <c r="N23" s="41" t="inlineStr">
        <is>
          <t>No</t>
        </is>
      </c>
      <c r="O23" s="22" t="inlineStr"/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37" t="inlineStr">
        <is>
          <t>Backlog</t>
        </is>
      </c>
      <c r="K24" s="103" t="inlineStr"/>
      <c r="L24" s="103" t="inlineStr"/>
      <c r="M24" s="103" t="inlineStr"/>
      <c r="N24" s="41" t="inlineStr">
        <is>
          <t>No</t>
        </is>
      </c>
      <c r="O24" s="22" t="inlineStr"/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37" t="inlineStr">
        <is>
          <t>Backlog</t>
        </is>
      </c>
      <c r="K25" s="103" t="inlineStr"/>
      <c r="L25" s="103" t="inlineStr"/>
      <c r="M25" s="103" t="inlineStr"/>
      <c r="N25" s="41" t="inlineStr">
        <is>
          <t>No</t>
        </is>
      </c>
      <c r="O25" s="22" t="inlineStr"/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37" t="inlineStr">
        <is>
          <t>Backlog</t>
        </is>
      </c>
      <c r="K26" s="103" t="inlineStr"/>
      <c r="L26" s="103" t="inlineStr"/>
      <c r="M26" s="103" t="inlineStr"/>
      <c r="N26" s="41" t="inlineStr">
        <is>
          <t>No</t>
        </is>
      </c>
      <c r="O26" s="22" t="inlineStr"/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37" t="inlineStr">
        <is>
          <t>Backlog</t>
        </is>
      </c>
      <c r="K27" s="103" t="inlineStr"/>
      <c r="L27" s="103" t="inlineStr"/>
      <c r="M27" s="103" t="inlineStr"/>
      <c r="N27" s="41" t="inlineStr">
        <is>
          <t>No</t>
        </is>
      </c>
      <c r="O27" s="22" t="inlineStr"/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37" t="inlineStr">
        <is>
          <t>Backlog</t>
        </is>
      </c>
      <c r="K28" s="103" t="inlineStr"/>
      <c r="L28" s="103" t="inlineStr"/>
      <c r="M28" s="103" t="inlineStr"/>
      <c r="N28" s="41" t="inlineStr">
        <is>
          <t>No</t>
        </is>
      </c>
      <c r="O28" s="22" t="inlineStr"/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37" t="inlineStr">
        <is>
          <t>Backlog</t>
        </is>
      </c>
      <c r="K29" s="103" t="inlineStr"/>
      <c r="L29" s="103" t="inlineStr"/>
      <c r="M29" s="103" t="inlineStr"/>
      <c r="N29" s="41" t="inlineStr">
        <is>
          <t>No</t>
        </is>
      </c>
      <c r="O29" s="22" t="inlineStr"/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37" t="inlineStr">
        <is>
          <t>Backlog</t>
        </is>
      </c>
      <c r="K31" s="103" t="inlineStr"/>
      <c r="L31" s="103" t="inlineStr"/>
      <c r="M31" s="103" t="inlineStr"/>
      <c r="N31" s="23" t="inlineStr">
        <is>
          <t>Yes</t>
        </is>
      </c>
      <c r="O31" s="22" t="inlineStr"/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37" t="inlineStr">
        <is>
          <t>Backlog</t>
        </is>
      </c>
      <c r="K32" s="103" t="inlineStr"/>
      <c r="L32" s="103" t="inlineStr"/>
      <c r="M32" s="103" t="inlineStr"/>
      <c r="N32" s="23" t="inlineStr">
        <is>
          <t>Yes</t>
        </is>
      </c>
      <c r="O32" s="22" t="inlineStr"/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37" t="inlineStr">
        <is>
          <t>Backlog</t>
        </is>
      </c>
      <c r="K33" s="103" t="inlineStr"/>
      <c r="L33" s="103" t="inlineStr"/>
      <c r="M33" s="103" t="inlineStr"/>
      <c r="N33" s="23" t="inlineStr">
        <is>
          <t>Yes</t>
        </is>
      </c>
      <c r="O33" s="22" t="inlineStr"/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5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9 Done, 15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IN PROGRESS. 2/5 shipped: phone index (kills full-collection scans on every login), LLM timeouts + semaphore (prevents Anthropic rate-limit cascades). Remaining: migration ledger (FIX-002-C, prerequisite for uploads migration), scheduler externalization (S1-01), uploads to obj_store (S1-03), Dockerfile (S1-04).</t>
        </is>
      </c>
      <c r="D7" s="95" t="inlineStr">
        <is>
          <t>Turns 'runs in Sharma demo' into 'survives 100 tenants under real load.'</t>
        </is>
      </c>
      <c r="E7" s="95" t="inlineStr">
        <is>
          <t>3/6 shipped (FIX-002-C added migration ledger).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37" t="inlineStr">
        <is>
          <t>Not Started</t>
        </is>
      </c>
      <c r="I20" s="36" t="inlineStr">
        <is>
          <t>P0</t>
        </is>
      </c>
      <c r="J20" s="103" t="inlineStr"/>
      <c r="K20" s="103" t="inlineStr"/>
      <c r="L20" s="103" t="inlineStr"/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37" t="inlineStr">
        <is>
          <t>Not Started</t>
        </is>
      </c>
      <c r="I21" s="36" t="inlineStr">
        <is>
          <t>P0</t>
        </is>
      </c>
      <c r="J21" s="103" t="inlineStr"/>
      <c r="K21" s="103" t="inlineStr"/>
      <c r="L21" s="103" t="inlineStr"/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or platform config (new)</t>
        </is>
      </c>
      <c r="G22" s="22" t="inlineStr">
        <is>
          <t>smoke test: docker build + docker run + hit /api/health</t>
        </is>
      </c>
      <c r="H22" s="37" t="inlineStr">
        <is>
          <t>Not Started</t>
        </is>
      </c>
      <c r="I22" s="36" t="inlineStr">
        <is>
          <t>P0</t>
        </is>
      </c>
      <c r="J22" s="103" t="inlineStr"/>
      <c r="K22" s="103" t="inlineStr"/>
      <c r="L22" s="103" t="inlineStr"/>
      <c r="M22" s="22" t="inlineStr">
        <is>
          <t>Last Sprint 1 item; unlocks staging deploy. May need brief chat on target platform (Railway/Render/Fly).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/>
    <row r="36"/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54" t="inlineStr">
        <is>
          <t>[S1-01] Externalize the follow-up scheduler
(Scale/Ops)</t>
        </is>
      </c>
      <c r="C5" s="55" t="inlineStr">
        <is>
          <t>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54" t="inlineStr">
        <is>
          <t>[S1-02] Index phone, drop Python-side filter
(Scale/Ops)</t>
        </is>
      </c>
      <c r="C6" s="55" t="inlineStr">
        <is>
          <t>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54" t="inlineStr">
        <is>
          <t>[S1-03] Move all uploads to obj_store
(Scale/Ops)</t>
        </is>
      </c>
      <c r="C7" s="54" t="inlineStr">
        <is>
          <t>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54" t="inlineStr">
        <is>
          <t>[S1-04] Commit real deployment config
(Scale/Ops)</t>
        </is>
      </c>
      <c r="C8" s="55" t="inlineStr">
        <is>
          <t>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55" t="inlineStr">
        <is>
          <t>[S1-05] Timeout + concurrency-limit LLM calls
(Scale/Ops)</t>
        </is>
      </c>
      <c r="C9" s="56" t="inlineStr">
        <is>
          <t>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54" t="inlineStr">
        <is>
          <t>[S1-06] Fix hardcoded purchase_payment key
(Scale/Ops)</t>
        </is>
      </c>
      <c r="C10" s="55" t="inlineStr">
        <is>
          <t>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55" t="inlineStr">
        <is>
          <t>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55" t="inlineStr">
        <is>
          <t>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56" t="inlineStr">
        <is>
          <t>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56" t="inlineStr">
        <is>
          <t>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55" t="inlineStr">
        <is>
          <t>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56" t="inlineStr">
        <is>
          <t>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Not Started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Not Started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</t>
        </is>
      </c>
      <c r="D7" s="88" t="inlineStr">
        <is>
          <t>FALSE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</t>
        </is>
      </c>
      <c r="D8" s="88" t="inlineStr">
        <is>
          <t>FALSE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</t>
        </is>
      </c>
      <c r="D9" s="88" t="inlineStr">
        <is>
          <t>FALSE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</t>
        </is>
      </c>
      <c r="D10" s="88" t="inlineStr">
        <is>
          <t>FALSE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</t>
        </is>
      </c>
      <c r="D11" s="88" t="inlineStr">
        <is>
          <t>FALSE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</t>
        </is>
      </c>
      <c r="D12" s="88" t="inlineStr">
        <is>
          <t>FALSE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</t>
        </is>
      </c>
      <c r="D13" s="88" t="inlineStr">
        <is>
          <t>FALSE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2026-08-04T14:03:48Z</dcterms:created>
  <dcterms:modified xsi:type="dcterms:W3CDTF">2026-08-09T04:35:02Z</dcterms:modified>
</cp:coreProperties>
</file>