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Task Backlog" sheetId="3" state="visible" r:id="rId3"/>
    <sheet name="Fix Log" sheetId="4" state="visible" r:id="rId4"/>
    <sheet name="Kanban Board" sheetId="5" state="visible" r:id="rId5"/>
    <sheet name="Testing Plan" sheetId="6" state="visible" r:id="rId6"/>
    <sheet name="Go-Live 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6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</fonts>
  <fills count="22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2">
      <c r="A12" s="4" t="inlineStr">
        <is>
          <t>Legend — Priority</t>
        </is>
      </c>
    </row>
    <row r="13">
      <c r="A13" s="7" t="inlineStr">
        <is>
          <t>P0</t>
        </is>
      </c>
      <c r="B13" s="8" t="inlineStr">
        <is>
          <t>Ship-blocker — must close before the next tenant / go-live gate it sits in</t>
        </is>
      </c>
    </row>
    <row r="14">
      <c r="A14" s="9" t="inlineStr">
        <is>
          <t>P1</t>
        </is>
      </c>
      <c r="B14" s="8" t="inlineStr">
        <is>
          <t>Fix before selling to a real customer — not an immediate blocker but close soon</t>
        </is>
      </c>
    </row>
    <row r="15">
      <c r="A15" s="10" t="inlineStr">
        <is>
          <t>P2</t>
        </is>
      </c>
      <c r="B15" s="8" t="inlineStr">
        <is>
          <t>Quality/hardening — schedule once P0/P1 are clear</t>
        </is>
      </c>
    </row>
    <row r="17">
      <c r="A17" s="4" t="inlineStr">
        <is>
          <t>Legend — Status</t>
        </is>
      </c>
    </row>
    <row r="18">
      <c r="A18" s="11" t="inlineStr">
        <is>
          <t>Backlog</t>
        </is>
      </c>
    </row>
    <row r="19">
      <c r="A19" s="12" t="inlineStr">
        <is>
          <t>To Do</t>
        </is>
      </c>
    </row>
    <row r="20">
      <c r="A20" s="13" t="inlineStr">
        <is>
          <t>In Progress</t>
        </is>
      </c>
    </row>
    <row r="21">
      <c r="A21" s="7" t="inlineStr">
        <is>
          <t>Blocked</t>
        </is>
      </c>
    </row>
    <row r="22">
      <c r="A22" s="9" t="inlineStr">
        <is>
          <t>In Review</t>
        </is>
      </c>
    </row>
    <row r="23">
      <c r="A23" s="14" t="inlineStr">
        <is>
          <t>Done</t>
        </is>
      </c>
    </row>
    <row r="25">
      <c r="A25" s="4" t="inlineStr">
        <is>
          <t>Cells to edit</t>
        </is>
      </c>
    </row>
    <row r="26" ht="45" customHeight="1">
      <c r="A26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Backlog'!A2:A54)</f>
        <v/>
      </c>
    </row>
    <row r="6">
      <c r="B6" s="16" t="inlineStr">
        <is>
          <t>Done</t>
        </is>
      </c>
      <c r="C6" s="17">
        <f>COUNTIF('Task Backlog'!J2:J54,"Done")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Backlog'!F2:F54,"P0",'Task Backlog'!J2:J54,"&lt;&gt;Done")</f>
        <v/>
      </c>
    </row>
    <row r="9">
      <c r="B9" s="16" t="inlineStr">
        <is>
          <t>Go-Live blockers still open</t>
        </is>
      </c>
      <c r="C9" s="17">
        <f>COUNTIFS('Task Backlog'!N2:N54,"Yes",'Task Backlog'!J2:J54,"&lt;&gt;Done")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Backlog'!B2:B54,"Sprint 0")</f>
        <v/>
      </c>
      <c r="F15" s="24">
        <f>COUNTIFS('Task Backlog'!B2:B54,"Sprint 0",'Task Backlog'!J2:J54,"Done")</f>
        <v/>
      </c>
      <c r="G15" s="25">
        <f>IFERROR(F15/E15,0)</f>
        <v/>
      </c>
      <c r="H15" s="24">
        <f>COUNTIFS('Task Backlog'!B2:B54,"Sprint 0",'Task Backlog'!F2:F54,"P0",'Task Backlog'!J2:J54,"&lt;&gt;Done")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Backlog'!B2:B54,"Sprint 1")</f>
        <v/>
      </c>
      <c r="F16" s="24">
        <f>COUNTIFS('Task Backlog'!B2:B54,"Sprint 1",'Task Backlog'!J2:J54,"Done")</f>
        <v/>
      </c>
      <c r="G16" s="25">
        <f>IFERROR(F16/E16,0)</f>
        <v/>
      </c>
      <c r="H16" s="24">
        <f>COUNTIFS('Task Backlog'!B2:B54,"Sprint 1",'Task Backlog'!F2:F54,"P0",'Task Backlog'!J2:J54,"&lt;&gt;Done")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Backlog'!B2:B54,"Sprint 2")</f>
        <v/>
      </c>
      <c r="F17" s="24">
        <f>COUNTIFS('Task Backlog'!B2:B54,"Sprint 2",'Task Backlog'!J2:J54,"Done")</f>
        <v/>
      </c>
      <c r="G17" s="25">
        <f>IFERROR(F17/E17,0)</f>
        <v/>
      </c>
      <c r="H17" s="24">
        <f>COUNTIFS('Task Backlog'!B2:B54,"Sprint 2",'Task Backlog'!F2:F54,"P0",'Task Backlog'!J2:J54,"&lt;&gt;Done")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Backlog'!B2:B54,"Sprint 3")</f>
        <v/>
      </c>
      <c r="F18" s="24">
        <f>COUNTIFS('Task Backlog'!B2:B54,"Sprint 3",'Task Backlog'!J2:J54,"Done")</f>
        <v/>
      </c>
      <c r="G18" s="25">
        <f>IFERROR(F18/E18,0)</f>
        <v/>
      </c>
      <c r="H18" s="24">
        <f>COUNTIFS('Task Backlog'!B2:B54,"Sprint 3",'Task Backlog'!F2:F54,"P0",'Task Backlog'!J2:J54,"&lt;&gt;Done")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Backlog'!B2:B54,"Sprint 4")</f>
        <v/>
      </c>
      <c r="F19" s="24">
        <f>COUNTIFS('Task Backlog'!B2:B54,"Sprint 4",'Task Backlog'!J2:J54,"Done")</f>
        <v/>
      </c>
      <c r="G19" s="25">
        <f>IFERROR(F19/E19,0)</f>
        <v/>
      </c>
      <c r="H19" s="24">
        <f>COUNTIFS('Task Backlog'!B2:B54,"Sprint 4",'Task Backlog'!F2:F54,"P0",'Task Backlog'!J2:J54,"&lt;&gt;Done")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Backlog'!B2:B54,"Sprint 5")</f>
        <v/>
      </c>
      <c r="F20" s="24">
        <f>COUNTIFS('Task Backlog'!B2:B54,"Sprint 5",'Task Backlog'!J2:J54,"Done")</f>
        <v/>
      </c>
      <c r="G20" s="25">
        <f>IFERROR(F20/E20,0)</f>
        <v/>
      </c>
      <c r="H20" s="24">
        <f>COUNTIFS('Task Backlog'!B2:B54,"Sprint 5",'Task Backlog'!F2:F54,"P0",'Task Backlog'!J2:J54,"&lt;&gt;Done")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96" t="inlineStr">
        <is>
          <t>S0-01</t>
        </is>
      </c>
      <c r="B2" s="35" t="inlineStr">
        <is>
          <t>Sprint 0</t>
        </is>
      </c>
      <c r="C2" s="96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96" t="inlineStr">
        <is>
          <t>SaaS Readiness Review</t>
        </is>
      </c>
      <c r="H2" s="96" t="inlineStr">
        <is>
          <t>server.py:4925-4937</t>
        </is>
      </c>
      <c r="I2" s="96" t="inlineStr">
        <is>
          <t>S</t>
        </is>
      </c>
      <c r="J2" s="37" t="inlineStr">
        <is>
          <t>Backlog</t>
        </is>
      </c>
      <c r="K2" s="96" t="inlineStr"/>
      <c r="L2" s="96" t="inlineStr"/>
      <c r="M2" s="96" t="inlineStr"/>
      <c r="N2" s="23" t="inlineStr">
        <is>
          <t>Yes</t>
        </is>
      </c>
      <c r="O2" s="22" t="inlineStr"/>
    </row>
    <row r="3" ht="32" customHeight="1">
      <c r="A3" s="96" t="inlineStr">
        <is>
          <t>S0-02</t>
        </is>
      </c>
      <c r="B3" s="35" t="inlineStr">
        <is>
          <t>Sprint 0</t>
        </is>
      </c>
      <c r="C3" s="96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96" t="inlineStr">
        <is>
          <t>SaaS Readiness Review</t>
        </is>
      </c>
      <c r="H3" s="96" t="inlineStr">
        <is>
          <t>server.py:4994-5001, core.py:218-222</t>
        </is>
      </c>
      <c r="I3" s="96" t="inlineStr">
        <is>
          <t>M</t>
        </is>
      </c>
      <c r="J3" s="37" t="inlineStr">
        <is>
          <t>Backlog</t>
        </is>
      </c>
      <c r="K3" s="96" t="inlineStr"/>
      <c r="L3" s="96" t="inlineStr"/>
      <c r="M3" s="96" t="inlineStr"/>
      <c r="N3" s="23" t="inlineStr">
        <is>
          <t>Yes</t>
        </is>
      </c>
      <c r="O3" s="22" t="inlineStr"/>
    </row>
    <row r="4" ht="32" customHeight="1">
      <c r="A4" s="96" t="inlineStr">
        <is>
          <t>S0-03</t>
        </is>
      </c>
      <c r="B4" s="35" t="inlineStr">
        <is>
          <t>Sprint 0</t>
        </is>
      </c>
      <c r="C4" s="96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96" t="inlineStr">
        <is>
          <t>SaaS Readiness Review</t>
        </is>
      </c>
      <c r="H4" s="96" t="inlineStr">
        <is>
          <t>server.py:3032-3038</t>
        </is>
      </c>
      <c r="I4" s="96" t="inlineStr">
        <is>
          <t>S</t>
        </is>
      </c>
      <c r="J4" s="37" t="inlineStr">
        <is>
          <t>Backlog</t>
        </is>
      </c>
      <c r="K4" s="96" t="inlineStr"/>
      <c r="L4" s="96" t="inlineStr"/>
      <c r="M4" s="96" t="inlineStr"/>
      <c r="N4" s="23" t="inlineStr">
        <is>
          <t>Yes</t>
        </is>
      </c>
      <c r="O4" s="22" t="inlineStr"/>
    </row>
    <row r="5" ht="32" customHeight="1">
      <c r="A5" s="96" t="inlineStr">
        <is>
          <t>S0-04</t>
        </is>
      </c>
      <c r="B5" s="35" t="inlineStr">
        <is>
          <t>Sprint 0</t>
        </is>
      </c>
      <c r="C5" s="96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96" t="inlineStr">
        <is>
          <t>SaaS Readiness Review</t>
        </is>
      </c>
      <c r="H5" s="96" t="inlineStr">
        <is>
          <t>server.py:1345-1347</t>
        </is>
      </c>
      <c r="I5" s="96" t="inlineStr">
        <is>
          <t>S</t>
        </is>
      </c>
      <c r="J5" s="37" t="inlineStr">
        <is>
          <t>Backlog</t>
        </is>
      </c>
      <c r="K5" s="96" t="inlineStr"/>
      <c r="L5" s="96" t="inlineStr"/>
      <c r="M5" s="96" t="inlineStr"/>
      <c r="N5" s="23" t="inlineStr">
        <is>
          <t>Yes</t>
        </is>
      </c>
      <c r="O5" s="22" t="inlineStr"/>
    </row>
    <row r="6" ht="32" customHeight="1">
      <c r="A6" s="96" t="inlineStr">
        <is>
          <t>S0-05</t>
        </is>
      </c>
      <c r="B6" s="35" t="inlineStr">
        <is>
          <t>Sprint 0</t>
        </is>
      </c>
      <c r="C6" s="96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96" t="inlineStr">
        <is>
          <t>SaaS Readiness Review</t>
        </is>
      </c>
      <c r="H6" s="96" t="inlineStr">
        <is>
          <t>server.py:3919-3933</t>
        </is>
      </c>
      <c r="I6" s="96" t="inlineStr">
        <is>
          <t>S</t>
        </is>
      </c>
      <c r="J6" s="37" t="inlineStr">
        <is>
          <t>Backlog</t>
        </is>
      </c>
      <c r="K6" s="96" t="inlineStr"/>
      <c r="L6" s="96" t="inlineStr"/>
      <c r="M6" s="96" t="inlineStr"/>
      <c r="N6" s="23" t="inlineStr">
        <is>
          <t>Yes</t>
        </is>
      </c>
      <c r="O6" s="22" t="inlineStr"/>
    </row>
    <row r="7" ht="32" customHeight="1">
      <c r="A7" s="96" t="inlineStr">
        <is>
          <t>S0-06</t>
        </is>
      </c>
      <c r="B7" s="35" t="inlineStr">
        <is>
          <t>Sprint 0</t>
        </is>
      </c>
      <c r="C7" s="96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96" t="inlineStr">
        <is>
          <t>SaaS Readiness Review</t>
        </is>
      </c>
      <c r="H7" s="96" t="inlineStr">
        <is>
          <t>routers/signup.py, routers/onboarding.py:39,73</t>
        </is>
      </c>
      <c r="I7" s="96" t="inlineStr">
        <is>
          <t>M</t>
        </is>
      </c>
      <c r="J7" s="37" t="inlineStr">
        <is>
          <t>Backlog</t>
        </is>
      </c>
      <c r="K7" s="96" t="inlineStr"/>
      <c r="L7" s="96" t="inlineStr"/>
      <c r="M7" s="96" t="inlineStr"/>
      <c r="N7" s="23" t="inlineStr">
        <is>
          <t>Yes</t>
        </is>
      </c>
      <c r="O7" s="22" t="inlineStr"/>
    </row>
    <row r="8" ht="32" customHeight="1">
      <c r="A8" s="96" t="inlineStr">
        <is>
          <t>S0-07</t>
        </is>
      </c>
      <c r="B8" s="35" t="inlineStr">
        <is>
          <t>Sprint 0</t>
        </is>
      </c>
      <c r="C8" s="96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96" t="inlineStr">
        <is>
          <t>SaaS Readiness Review</t>
        </is>
      </c>
      <c r="H8" s="96" t="inlineStr">
        <is>
          <t>routers/auth.py:151-162</t>
        </is>
      </c>
      <c r="I8" s="96" t="inlineStr">
        <is>
          <t>S</t>
        </is>
      </c>
      <c r="J8" s="37" t="inlineStr">
        <is>
          <t>Backlog</t>
        </is>
      </c>
      <c r="K8" s="96" t="inlineStr"/>
      <c r="L8" s="96" t="inlineStr"/>
      <c r="M8" s="96" t="inlineStr"/>
      <c r="N8" s="23" t="inlineStr">
        <is>
          <t>Yes</t>
        </is>
      </c>
      <c r="O8" s="22" t="inlineStr"/>
    </row>
    <row r="9" ht="32" customHeight="1">
      <c r="A9" s="96" t="inlineStr">
        <is>
          <t>S0-08</t>
        </is>
      </c>
      <c r="B9" s="35" t="inlineStr">
        <is>
          <t>Sprint 0</t>
        </is>
      </c>
      <c r="C9" s="96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96" t="inlineStr">
        <is>
          <t>SaaS Readiness Review</t>
        </is>
      </c>
      <c r="H9" s="96" t="inlineStr">
        <is>
          <t>routers/auth.py:148,162</t>
        </is>
      </c>
      <c r="I9" s="96" t="inlineStr">
        <is>
          <t>S</t>
        </is>
      </c>
      <c r="J9" s="37" t="inlineStr">
        <is>
          <t>Backlog</t>
        </is>
      </c>
      <c r="K9" s="96" t="inlineStr"/>
      <c r="L9" s="96" t="inlineStr"/>
      <c r="M9" s="96" t="inlineStr"/>
      <c r="N9" s="23" t="inlineStr">
        <is>
          <t>Yes</t>
        </is>
      </c>
      <c r="O9" s="22" t="inlineStr"/>
    </row>
    <row r="10" ht="32" customHeight="1">
      <c r="A10" s="96" t="inlineStr">
        <is>
          <t>S0-09</t>
        </is>
      </c>
      <c r="B10" s="35" t="inlineStr">
        <is>
          <t>Sprint 0</t>
        </is>
      </c>
      <c r="C10" s="96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96" t="inlineStr">
        <is>
          <t>SaaS Readiness Review</t>
        </is>
      </c>
      <c r="H10" s="96" t="inlineStr">
        <is>
          <t>core.py:237,297</t>
        </is>
      </c>
      <c r="I10" s="96" t="inlineStr">
        <is>
          <t>S</t>
        </is>
      </c>
      <c r="J10" s="37" t="inlineStr">
        <is>
          <t>Backlog</t>
        </is>
      </c>
      <c r="K10" s="96" t="inlineStr"/>
      <c r="L10" s="96" t="inlineStr"/>
      <c r="M10" s="96" t="inlineStr"/>
      <c r="N10" s="23" t="inlineStr">
        <is>
          <t>Yes</t>
        </is>
      </c>
      <c r="O10" s="22" t="inlineStr"/>
    </row>
    <row r="11" ht="32" customHeight="1">
      <c r="A11" s="96" t="inlineStr">
        <is>
          <t>S0-10</t>
        </is>
      </c>
      <c r="B11" s="35" t="inlineStr">
        <is>
          <t>Sprint 0</t>
        </is>
      </c>
      <c r="C11" s="96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96" t="inlineStr">
        <is>
          <t>SaaS Readiness Review</t>
        </is>
      </c>
      <c r="H11" s="96" t="inlineStr">
        <is>
          <t>server.py:1372,1386,1396,1397</t>
        </is>
      </c>
      <c r="I11" s="96" t="inlineStr">
        <is>
          <t>S</t>
        </is>
      </c>
      <c r="J11" s="37" t="inlineStr">
        <is>
          <t>Backlog</t>
        </is>
      </c>
      <c r="K11" s="96" t="inlineStr"/>
      <c r="L11" s="96" t="inlineStr"/>
      <c r="M11" s="96" t="inlineStr"/>
      <c r="N11" s="23" t="inlineStr">
        <is>
          <t>Yes</t>
        </is>
      </c>
      <c r="O11" s="22" t="inlineStr"/>
    </row>
    <row r="12" ht="32" customHeight="1">
      <c r="A12" s="96" t="inlineStr">
        <is>
          <t>S1-01</t>
        </is>
      </c>
      <c r="B12" s="39" t="inlineStr">
        <is>
          <t>Sprint 1</t>
        </is>
      </c>
      <c r="C12" s="96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96" t="inlineStr">
        <is>
          <t>Schema/Scale/Go-Live Review</t>
        </is>
      </c>
      <c r="H12" s="96" t="inlineStr">
        <is>
          <t>server.py:2765, 4946</t>
        </is>
      </c>
      <c r="I12" s="96" t="inlineStr">
        <is>
          <t>M</t>
        </is>
      </c>
      <c r="J12" s="37" t="inlineStr">
        <is>
          <t>Backlog</t>
        </is>
      </c>
      <c r="K12" s="96" t="inlineStr"/>
      <c r="L12" s="96" t="inlineStr"/>
      <c r="M12" s="96" t="inlineStr"/>
      <c r="N12" s="23" t="inlineStr">
        <is>
          <t>Yes</t>
        </is>
      </c>
      <c r="O12" s="22" t="inlineStr"/>
    </row>
    <row r="13" ht="32" customHeight="1">
      <c r="A13" s="96" t="inlineStr">
        <is>
          <t>S1-02</t>
        </is>
      </c>
      <c r="B13" s="39" t="inlineStr">
        <is>
          <t>Sprint 1</t>
        </is>
      </c>
      <c r="C13" s="96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96" t="inlineStr">
        <is>
          <t>Schema/Scale/Go-Live Review</t>
        </is>
      </c>
      <c r="H13" s="96" t="inlineStr">
        <is>
          <t>server.py:1357,1419,4004</t>
        </is>
      </c>
      <c r="I13" s="96" t="inlineStr">
        <is>
          <t>S</t>
        </is>
      </c>
      <c r="J13" s="37" t="inlineStr">
        <is>
          <t>Backlog</t>
        </is>
      </c>
      <c r="K13" s="96" t="inlineStr"/>
      <c r="L13" s="96" t="inlineStr"/>
      <c r="M13" s="96" t="inlineStr"/>
      <c r="N13" s="23" t="inlineStr">
        <is>
          <t>Yes</t>
        </is>
      </c>
      <c r="O13" s="22" t="inlineStr"/>
    </row>
    <row r="14" ht="32" customHeight="1">
      <c r="A14" s="96" t="inlineStr">
        <is>
          <t>S1-03</t>
        </is>
      </c>
      <c r="B14" s="39" t="inlineStr">
        <is>
          <t>Sprint 1</t>
        </is>
      </c>
      <c r="C14" s="96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96" t="inlineStr">
        <is>
          <t>Schema/Scale/Go-Live Review</t>
        </is>
      </c>
      <c r="H14" s="96" t="inlineStr">
        <is>
          <t>server.py:1739,1902,3032; ledger.py:146</t>
        </is>
      </c>
      <c r="I14" s="96" t="inlineStr">
        <is>
          <t>M</t>
        </is>
      </c>
      <c r="J14" s="37" t="inlineStr">
        <is>
          <t>Backlog</t>
        </is>
      </c>
      <c r="K14" s="96" t="inlineStr"/>
      <c r="L14" s="96" t="inlineStr"/>
      <c r="M14" s="96" t="inlineStr"/>
      <c r="N14" s="23" t="inlineStr">
        <is>
          <t>Yes</t>
        </is>
      </c>
      <c r="O14" s="22" t="inlineStr"/>
    </row>
    <row r="15" ht="32" customHeight="1">
      <c r="A15" s="96" t="inlineStr">
        <is>
          <t>S1-04</t>
        </is>
      </c>
      <c r="B15" s="39" t="inlineStr">
        <is>
          <t>Sprint 1</t>
        </is>
      </c>
      <c r="C15" s="96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96" t="inlineStr">
        <is>
          <t>Schema/Scale/Go-Live Review</t>
        </is>
      </c>
      <c r="H15" s="96" t="inlineStr">
        <is>
          <t>(missing — new file)</t>
        </is>
      </c>
      <c r="I15" s="96" t="inlineStr">
        <is>
          <t>M</t>
        </is>
      </c>
      <c r="J15" s="37" t="inlineStr">
        <is>
          <t>Backlog</t>
        </is>
      </c>
      <c r="K15" s="96" t="inlineStr"/>
      <c r="L15" s="96" t="inlineStr"/>
      <c r="M15" s="96" t="inlineStr"/>
      <c r="N15" s="23" t="inlineStr">
        <is>
          <t>Yes</t>
        </is>
      </c>
      <c r="O15" s="22" t="inlineStr"/>
    </row>
    <row r="16" ht="32" customHeight="1">
      <c r="A16" s="96" t="inlineStr">
        <is>
          <t>S1-05</t>
        </is>
      </c>
      <c r="B16" s="39" t="inlineStr">
        <is>
          <t>Sprint 1</t>
        </is>
      </c>
      <c r="C16" s="96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96" t="inlineStr">
        <is>
          <t>Schema/Scale/Go-Live Review</t>
        </is>
      </c>
      <c r="H16" s="96" t="inlineStr">
        <is>
          <t>core.py:177</t>
        </is>
      </c>
      <c r="I16" s="96" t="inlineStr">
        <is>
          <t>M</t>
        </is>
      </c>
      <c r="J16" s="37" t="inlineStr">
        <is>
          <t>Backlog</t>
        </is>
      </c>
      <c r="K16" s="96" t="inlineStr"/>
      <c r="L16" s="96" t="inlineStr"/>
      <c r="M16" s="96" t="inlineStr"/>
      <c r="N16" s="23" t="inlineStr">
        <is>
          <t>Yes</t>
        </is>
      </c>
      <c r="O16" s="22" t="inlineStr"/>
    </row>
    <row r="17" ht="32" customHeight="1">
      <c r="A17" s="96" t="inlineStr">
        <is>
          <t>S1-06</t>
        </is>
      </c>
      <c r="B17" s="39" t="inlineStr">
        <is>
          <t>Sprint 1</t>
        </is>
      </c>
      <c r="C17" s="96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96" t="inlineStr">
        <is>
          <t>Schema/Scale/Go-Live Review</t>
        </is>
      </c>
      <c r="H17" s="96" t="inlineStr">
        <is>
          <t>routers/decisions.py:166; server.py:2429; routers/brief.py:95,98,238,262</t>
        </is>
      </c>
      <c r="I17" s="96" t="inlineStr">
        <is>
          <t>M</t>
        </is>
      </c>
      <c r="J17" s="37" t="inlineStr">
        <is>
          <t>Backlog</t>
        </is>
      </c>
      <c r="K17" s="96" t="inlineStr"/>
      <c r="L17" s="96" t="inlineStr"/>
      <c r="M17" s="96" t="inlineStr"/>
      <c r="N17" s="23" t="inlineStr">
        <is>
          <t>Yes</t>
        </is>
      </c>
      <c r="O17" s="22" t="inlineStr"/>
    </row>
    <row r="18" ht="32" customHeight="1">
      <c r="A18" s="96" t="inlineStr">
        <is>
          <t>S2-01</t>
        </is>
      </c>
      <c r="B18" s="40" t="inlineStr">
        <is>
          <t>Sprint 2</t>
        </is>
      </c>
      <c r="C18" s="96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96" t="inlineStr">
        <is>
          <t>SaaS Readiness Review</t>
        </is>
      </c>
      <c r="H18" s="96" t="inlineStr">
        <is>
          <t>routers/tasks.py:317,360,395; decisions.py:144-227; brain_docs.py:320,329; ledger.py:585,638,684</t>
        </is>
      </c>
      <c r="I18" s="96" t="inlineStr">
        <is>
          <t>M</t>
        </is>
      </c>
      <c r="J18" s="37" t="inlineStr">
        <is>
          <t>Backlog</t>
        </is>
      </c>
      <c r="K18" s="96" t="inlineStr"/>
      <c r="L18" s="96" t="inlineStr"/>
      <c r="M18" s="96" t="inlineStr"/>
      <c r="N18" s="41" t="inlineStr">
        <is>
          <t>No</t>
        </is>
      </c>
      <c r="O18" s="22" t="inlineStr"/>
    </row>
    <row r="19" ht="32" customHeight="1">
      <c r="A19" s="96" t="inlineStr">
        <is>
          <t>S2-02</t>
        </is>
      </c>
      <c r="B19" s="40" t="inlineStr">
        <is>
          <t>Sprint 2</t>
        </is>
      </c>
      <c r="C19" s="96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96" t="inlineStr">
        <is>
          <t>SaaS Readiness Review</t>
        </is>
      </c>
      <c r="H19" s="96" t="inlineStr">
        <is>
          <t>routers/admin.py:161-186</t>
        </is>
      </c>
      <c r="I19" s="96" t="inlineStr">
        <is>
          <t>S</t>
        </is>
      </c>
      <c r="J19" s="37" t="inlineStr">
        <is>
          <t>Backlog</t>
        </is>
      </c>
      <c r="K19" s="96" t="inlineStr"/>
      <c r="L19" s="96" t="inlineStr"/>
      <c r="M19" s="96" t="inlineStr"/>
      <c r="N19" s="41" t="inlineStr">
        <is>
          <t>No</t>
        </is>
      </c>
      <c r="O19" s="22" t="inlineStr"/>
    </row>
    <row r="20" ht="32" customHeight="1">
      <c r="A20" s="96" t="inlineStr">
        <is>
          <t>S2-03</t>
        </is>
      </c>
      <c r="B20" s="40" t="inlineStr">
        <is>
          <t>Sprint 2</t>
        </is>
      </c>
      <c r="C20" s="96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96" t="inlineStr">
        <is>
          <t>Schema/Scale/Go-Live Review</t>
        </is>
      </c>
      <c r="H20" s="96" t="inlineStr">
        <is>
          <t>server.py:1418-1428,1357; 3999-4028</t>
        </is>
      </c>
      <c r="I20" s="96" t="inlineStr">
        <is>
          <t>M</t>
        </is>
      </c>
      <c r="J20" s="37" t="inlineStr">
        <is>
          <t>Backlog</t>
        </is>
      </c>
      <c r="K20" s="96" t="inlineStr"/>
      <c r="L20" s="96" t="inlineStr"/>
      <c r="M20" s="96" t="inlineStr"/>
      <c r="N20" s="23" t="inlineStr">
        <is>
          <t>Yes</t>
        </is>
      </c>
      <c r="O20" s="22" t="inlineStr"/>
    </row>
    <row r="21" ht="32" customHeight="1">
      <c r="A21" s="96" t="inlineStr">
        <is>
          <t>S2-04</t>
        </is>
      </c>
      <c r="B21" s="40" t="inlineStr">
        <is>
          <t>Sprint 2</t>
        </is>
      </c>
      <c r="C21" s="96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96" t="inlineStr">
        <is>
          <t>SaaS Readiness Review</t>
        </is>
      </c>
      <c r="H21" s="96" t="inlineStr">
        <is>
          <t>server.py:3993-3995</t>
        </is>
      </c>
      <c r="I21" s="96" t="inlineStr">
        <is>
          <t>S</t>
        </is>
      </c>
      <c r="J21" s="37" t="inlineStr">
        <is>
          <t>Backlog</t>
        </is>
      </c>
      <c r="K21" s="96" t="inlineStr"/>
      <c r="L21" s="96" t="inlineStr"/>
      <c r="M21" s="96" t="inlineStr"/>
      <c r="N21" s="41" t="inlineStr">
        <is>
          <t>No</t>
        </is>
      </c>
      <c r="O21" s="22" t="inlineStr"/>
    </row>
    <row r="22" ht="32" customHeight="1">
      <c r="A22" s="96" t="inlineStr">
        <is>
          <t>S2-05</t>
        </is>
      </c>
      <c r="B22" s="40" t="inlineStr">
        <is>
          <t>Sprint 2</t>
        </is>
      </c>
      <c r="C22" s="96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96" t="inlineStr">
        <is>
          <t>SaaS Readiness Review</t>
        </is>
      </c>
      <c r="H22" s="96" t="inlineStr">
        <is>
          <t>server.py:2142-2158; routers/decisions.py:44,172-175</t>
        </is>
      </c>
      <c r="I22" s="96" t="inlineStr">
        <is>
          <t>S</t>
        </is>
      </c>
      <c r="J22" s="37" t="inlineStr">
        <is>
          <t>Backlog</t>
        </is>
      </c>
      <c r="K22" s="96" t="inlineStr"/>
      <c r="L22" s="96" t="inlineStr"/>
      <c r="M22" s="96" t="inlineStr"/>
      <c r="N22" s="41" t="inlineStr">
        <is>
          <t>No</t>
        </is>
      </c>
      <c r="O22" s="22" t="inlineStr"/>
    </row>
    <row r="23" ht="32" customHeight="1">
      <c r="A23" s="96" t="inlineStr">
        <is>
          <t>S2-06</t>
        </is>
      </c>
      <c r="B23" s="40" t="inlineStr">
        <is>
          <t>Sprint 2</t>
        </is>
      </c>
      <c r="C23" s="96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96" t="inlineStr">
        <is>
          <t>SaaS Readiness Review</t>
        </is>
      </c>
      <c r="H23" s="96" t="inlineStr">
        <is>
          <t>core.py:225-226</t>
        </is>
      </c>
      <c r="I23" s="96" t="inlineStr">
        <is>
          <t>M</t>
        </is>
      </c>
      <c r="J23" s="37" t="inlineStr">
        <is>
          <t>Backlog</t>
        </is>
      </c>
      <c r="K23" s="96" t="inlineStr"/>
      <c r="L23" s="96" t="inlineStr"/>
      <c r="M23" s="96" t="inlineStr"/>
      <c r="N23" s="41" t="inlineStr">
        <is>
          <t>No</t>
        </is>
      </c>
      <c r="O23" s="22" t="inlineStr"/>
    </row>
    <row r="24" ht="32" customHeight="1">
      <c r="A24" s="96" t="inlineStr">
        <is>
          <t>S2-07</t>
        </is>
      </c>
      <c r="B24" s="40" t="inlineStr">
        <is>
          <t>Sprint 2</t>
        </is>
      </c>
      <c r="C24" s="96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96" t="inlineStr">
        <is>
          <t>SaaS Readiness Review</t>
        </is>
      </c>
      <c r="H24" s="96" t="inlineStr">
        <is>
          <t>routers/auth.py</t>
        </is>
      </c>
      <c r="I24" s="96" t="inlineStr">
        <is>
          <t>M</t>
        </is>
      </c>
      <c r="J24" s="37" t="inlineStr">
        <is>
          <t>Backlog</t>
        </is>
      </c>
      <c r="K24" s="96" t="inlineStr"/>
      <c r="L24" s="96" t="inlineStr"/>
      <c r="M24" s="96" t="inlineStr"/>
      <c r="N24" s="41" t="inlineStr">
        <is>
          <t>No</t>
        </is>
      </c>
      <c r="O24" s="22" t="inlineStr"/>
    </row>
    <row r="25" ht="32" customHeight="1">
      <c r="A25" s="96" t="inlineStr">
        <is>
          <t>S2-08</t>
        </is>
      </c>
      <c r="B25" s="40" t="inlineStr">
        <is>
          <t>Sprint 2</t>
        </is>
      </c>
      <c r="C25" s="96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96" t="inlineStr">
        <is>
          <t>Schema/Scale/Go-Live Review</t>
        </is>
      </c>
      <c r="H25" s="96" t="inlineStr">
        <is>
          <t>server.py:4865</t>
        </is>
      </c>
      <c r="I25" s="96" t="inlineStr">
        <is>
          <t>S</t>
        </is>
      </c>
      <c r="J25" s="37" t="inlineStr">
        <is>
          <t>Backlog</t>
        </is>
      </c>
      <c r="K25" s="96" t="inlineStr"/>
      <c r="L25" s="96" t="inlineStr"/>
      <c r="M25" s="96" t="inlineStr"/>
      <c r="N25" s="41" t="inlineStr">
        <is>
          <t>No</t>
        </is>
      </c>
      <c r="O25" s="22" t="inlineStr"/>
    </row>
    <row r="26" ht="32" customHeight="1">
      <c r="A26" s="96" t="inlineStr">
        <is>
          <t>S2-09</t>
        </is>
      </c>
      <c r="B26" s="40" t="inlineStr">
        <is>
          <t>Sprint 2</t>
        </is>
      </c>
      <c r="C26" s="96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96" t="inlineStr">
        <is>
          <t>Schema/Scale/Go-Live Review</t>
        </is>
      </c>
      <c r="H26" s="96" t="inlineStr">
        <is>
          <t>routers/tasks.py; server.py:3326</t>
        </is>
      </c>
      <c r="I26" s="96" t="inlineStr">
        <is>
          <t>S</t>
        </is>
      </c>
      <c r="J26" s="37" t="inlineStr">
        <is>
          <t>Backlog</t>
        </is>
      </c>
      <c r="K26" s="96" t="inlineStr"/>
      <c r="L26" s="96" t="inlineStr"/>
      <c r="M26" s="96" t="inlineStr"/>
      <c r="N26" s="41" t="inlineStr">
        <is>
          <t>No</t>
        </is>
      </c>
      <c r="O26" s="22" t="inlineStr"/>
    </row>
    <row r="27" ht="32" customHeight="1">
      <c r="A27" s="96" t="inlineStr">
        <is>
          <t>S2-10</t>
        </is>
      </c>
      <c r="B27" s="40" t="inlineStr">
        <is>
          <t>Sprint 2</t>
        </is>
      </c>
      <c r="C27" s="96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96" t="inlineStr">
        <is>
          <t>Schema/Scale/Go-Live Review</t>
        </is>
      </c>
      <c r="H27" s="96" t="inlineStr">
        <is>
          <t>routers/auth.py:92-93</t>
        </is>
      </c>
      <c r="I27" s="96" t="inlineStr">
        <is>
          <t>S</t>
        </is>
      </c>
      <c r="J27" s="37" t="inlineStr">
        <is>
          <t>Backlog</t>
        </is>
      </c>
      <c r="K27" s="96" t="inlineStr"/>
      <c r="L27" s="96" t="inlineStr"/>
      <c r="M27" s="96" t="inlineStr"/>
      <c r="N27" s="41" t="inlineStr">
        <is>
          <t>No</t>
        </is>
      </c>
      <c r="O27" s="22" t="inlineStr"/>
    </row>
    <row r="28" ht="32" customHeight="1">
      <c r="A28" s="96" t="inlineStr">
        <is>
          <t>S2-11</t>
        </is>
      </c>
      <c r="B28" s="40" t="inlineStr">
        <is>
          <t>Sprint 2</t>
        </is>
      </c>
      <c r="C28" s="96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96" t="inlineStr">
        <is>
          <t>Schema/Scale/Go-Live Review</t>
        </is>
      </c>
      <c r="H28" s="96" t="inlineStr">
        <is>
          <t>server.py:1154-1160</t>
        </is>
      </c>
      <c r="I28" s="96" t="inlineStr">
        <is>
          <t>S</t>
        </is>
      </c>
      <c r="J28" s="37" t="inlineStr">
        <is>
          <t>Backlog</t>
        </is>
      </c>
      <c r="K28" s="96" t="inlineStr"/>
      <c r="L28" s="96" t="inlineStr"/>
      <c r="M28" s="96" t="inlineStr"/>
      <c r="N28" s="41" t="inlineStr">
        <is>
          <t>No</t>
        </is>
      </c>
      <c r="O28" s="22" t="inlineStr"/>
    </row>
    <row r="29" ht="32" customHeight="1">
      <c r="A29" s="96" t="inlineStr">
        <is>
          <t>S2-12</t>
        </is>
      </c>
      <c r="B29" s="40" t="inlineStr">
        <is>
          <t>Sprint 2</t>
        </is>
      </c>
      <c r="C29" s="96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96" t="inlineStr">
        <is>
          <t>Schema/Scale/Go-Live Review</t>
        </is>
      </c>
      <c r="H29" s="96" t="inlineStr">
        <is>
          <t>server.py:2433</t>
        </is>
      </c>
      <c r="I29" s="96" t="inlineStr">
        <is>
          <t>S</t>
        </is>
      </c>
      <c r="J29" s="37" t="inlineStr">
        <is>
          <t>Backlog</t>
        </is>
      </c>
      <c r="K29" s="96" t="inlineStr"/>
      <c r="L29" s="96" t="inlineStr"/>
      <c r="M29" s="96" t="inlineStr"/>
      <c r="N29" s="41" t="inlineStr">
        <is>
          <t>No</t>
        </is>
      </c>
      <c r="O29" s="22" t="inlineStr"/>
    </row>
    <row r="30" ht="32" customHeight="1">
      <c r="A30" s="96" t="inlineStr">
        <is>
          <t>S3-01</t>
        </is>
      </c>
      <c r="B30" s="43" t="inlineStr">
        <is>
          <t>Sprint 3</t>
        </is>
      </c>
      <c r="C30" s="96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96" t="inlineStr">
        <is>
          <t>SaaS Readiness Review</t>
        </is>
      </c>
      <c r="H30" s="96" t="inlineStr">
        <is>
          <t>requirements.txt:129</t>
        </is>
      </c>
      <c r="I30" s="96" t="inlineStr">
        <is>
          <t>L</t>
        </is>
      </c>
      <c r="J30" s="37" t="inlineStr">
        <is>
          <t>Backlog</t>
        </is>
      </c>
      <c r="K30" s="96" t="inlineStr"/>
      <c r="L30" s="96" t="inlineStr"/>
      <c r="M30" s="96" t="inlineStr"/>
      <c r="N30" s="23" t="inlineStr">
        <is>
          <t>Yes</t>
        </is>
      </c>
      <c r="O30" s="22" t="inlineStr"/>
    </row>
    <row r="31" ht="32" customHeight="1">
      <c r="A31" s="96" t="inlineStr">
        <is>
          <t>S3-02</t>
        </is>
      </c>
      <c r="B31" s="43" t="inlineStr">
        <is>
          <t>Sprint 3</t>
        </is>
      </c>
      <c r="C31" s="96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96" t="inlineStr">
        <is>
          <t>SaaS Readiness Review</t>
        </is>
      </c>
      <c r="H31" s="96" t="inlineStr">
        <is>
          <t>tenant document schema</t>
        </is>
      </c>
      <c r="I31" s="96" t="inlineStr">
        <is>
          <t>M</t>
        </is>
      </c>
      <c r="J31" s="37" t="inlineStr">
        <is>
          <t>Backlog</t>
        </is>
      </c>
      <c r="K31" s="96" t="inlineStr"/>
      <c r="L31" s="96" t="inlineStr"/>
      <c r="M31" s="96" t="inlineStr"/>
      <c r="N31" s="23" t="inlineStr">
        <is>
          <t>Yes</t>
        </is>
      </c>
      <c r="O31" s="22" t="inlineStr"/>
    </row>
    <row r="32" ht="32" customHeight="1">
      <c r="A32" s="96" t="inlineStr">
        <is>
          <t>S3-03</t>
        </is>
      </c>
      <c r="B32" s="43" t="inlineStr">
        <is>
          <t>Sprint 3</t>
        </is>
      </c>
      <c r="C32" s="96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96" t="inlineStr">
        <is>
          <t>SaaS Readiness Review</t>
        </is>
      </c>
      <c r="H32" s="96" t="inlineStr">
        <is>
          <t>config.py:53-60; core.py:177-205; routers/admin.py:335-348</t>
        </is>
      </c>
      <c r="I32" s="96" t="inlineStr">
        <is>
          <t>L</t>
        </is>
      </c>
      <c r="J32" s="37" t="inlineStr">
        <is>
          <t>Backlog</t>
        </is>
      </c>
      <c r="K32" s="96" t="inlineStr"/>
      <c r="L32" s="96" t="inlineStr"/>
      <c r="M32" s="96" t="inlineStr"/>
      <c r="N32" s="23" t="inlineStr">
        <is>
          <t>Yes</t>
        </is>
      </c>
      <c r="O32" s="22" t="inlineStr"/>
    </row>
    <row r="33" ht="32" customHeight="1">
      <c r="A33" s="96" t="inlineStr">
        <is>
          <t>S3-04</t>
        </is>
      </c>
      <c r="B33" s="43" t="inlineStr">
        <is>
          <t>Sprint 3</t>
        </is>
      </c>
      <c r="C33" s="96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96" t="inlineStr">
        <is>
          <t>SaaS Readiness Review</t>
        </is>
      </c>
      <c r="H33" s="96" t="inlineStr">
        <is>
          <t>services/usage.py</t>
        </is>
      </c>
      <c r="I33" s="96" t="inlineStr">
        <is>
          <t>M</t>
        </is>
      </c>
      <c r="J33" s="37" t="inlineStr">
        <is>
          <t>Backlog</t>
        </is>
      </c>
      <c r="K33" s="96" t="inlineStr"/>
      <c r="L33" s="96" t="inlineStr"/>
      <c r="M33" s="96" t="inlineStr"/>
      <c r="N33" s="23" t="inlineStr">
        <is>
          <t>Yes</t>
        </is>
      </c>
      <c r="O33" s="22" t="inlineStr"/>
    </row>
    <row r="34" ht="32" customHeight="1">
      <c r="A34" s="96" t="inlineStr">
        <is>
          <t>S4-01</t>
        </is>
      </c>
      <c r="B34" s="44" t="inlineStr">
        <is>
          <t>Sprint 4</t>
        </is>
      </c>
      <c r="C34" s="96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96" t="inlineStr">
        <is>
          <t>AI/Brain/Agentic Review</t>
        </is>
      </c>
      <c r="H34" s="96" t="inlineStr">
        <is>
          <t>server.py:4894; brain.py:250-255</t>
        </is>
      </c>
      <c r="I34" s="96" t="inlineStr">
        <is>
          <t>S</t>
        </is>
      </c>
      <c r="J34" s="37" t="inlineStr">
        <is>
          <t>Backlog</t>
        </is>
      </c>
      <c r="K34" s="96" t="inlineStr"/>
      <c r="L34" s="96" t="inlineStr"/>
      <c r="M34" s="96" t="inlineStr"/>
      <c r="N34" s="41" t="inlineStr">
        <is>
          <t>No</t>
        </is>
      </c>
      <c r="O34" s="22" t="inlineStr"/>
    </row>
    <row r="35" ht="32" customHeight="1">
      <c r="A35" s="96" t="inlineStr">
        <is>
          <t>S4-02</t>
        </is>
      </c>
      <c r="B35" s="44" t="inlineStr">
        <is>
          <t>Sprint 4</t>
        </is>
      </c>
      <c r="C35" s="96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96" t="inlineStr">
        <is>
          <t>AI/Brain/Agentic Review</t>
        </is>
      </c>
      <c r="H35" s="96" t="inlineStr">
        <is>
          <t>tasks.py:507; services/brain_context.py</t>
        </is>
      </c>
      <c r="I35" s="96" t="inlineStr">
        <is>
          <t>M</t>
        </is>
      </c>
      <c r="J35" s="37" t="inlineStr">
        <is>
          <t>Backlog</t>
        </is>
      </c>
      <c r="K35" s="96" t="inlineStr"/>
      <c r="L35" s="96" t="inlineStr"/>
      <c r="M35" s="96" t="inlineStr"/>
      <c r="N35" s="41" t="inlineStr">
        <is>
          <t>No</t>
        </is>
      </c>
      <c r="O35" s="22" t="inlineStr"/>
    </row>
    <row r="36" ht="32" customHeight="1">
      <c r="A36" s="96" t="inlineStr">
        <is>
          <t>S4-03</t>
        </is>
      </c>
      <c r="B36" s="44" t="inlineStr">
        <is>
          <t>Sprint 4</t>
        </is>
      </c>
      <c r="C36" s="96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96" t="inlineStr">
        <is>
          <t>AI/Brain/Agentic Review</t>
        </is>
      </c>
      <c r="H36" s="96" t="inlineStr">
        <is>
          <t>brain.py:714,752,794</t>
        </is>
      </c>
      <c r="I36" s="96" t="inlineStr">
        <is>
          <t>S</t>
        </is>
      </c>
      <c r="J36" s="37" t="inlineStr">
        <is>
          <t>Backlog</t>
        </is>
      </c>
      <c r="K36" s="96" t="inlineStr"/>
      <c r="L36" s="96" t="inlineStr"/>
      <c r="M36" s="96" t="inlineStr"/>
      <c r="N36" s="41" t="inlineStr">
        <is>
          <t>No</t>
        </is>
      </c>
      <c r="O36" s="22" t="inlineStr"/>
    </row>
    <row r="37" ht="32" customHeight="1">
      <c r="A37" s="96" t="inlineStr">
        <is>
          <t>S4-04</t>
        </is>
      </c>
      <c r="B37" s="44" t="inlineStr">
        <is>
          <t>Sprint 4</t>
        </is>
      </c>
      <c r="C37" s="96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96" t="inlineStr">
        <is>
          <t>AI/Brain/Agentic Review</t>
        </is>
      </c>
      <c r="H37" s="96" t="inlineStr">
        <is>
          <t>routers/brain.py:52,205</t>
        </is>
      </c>
      <c r="I37" s="96" t="inlineStr">
        <is>
          <t>M</t>
        </is>
      </c>
      <c r="J37" s="37" t="inlineStr">
        <is>
          <t>Backlog</t>
        </is>
      </c>
      <c r="K37" s="96" t="inlineStr"/>
      <c r="L37" s="96" t="inlineStr"/>
      <c r="M37" s="96" t="inlineStr"/>
      <c r="N37" s="41" t="inlineStr">
        <is>
          <t>No</t>
        </is>
      </c>
      <c r="O37" s="22" t="inlineStr"/>
    </row>
    <row r="38" ht="32" customHeight="1">
      <c r="A38" s="96" t="inlineStr">
        <is>
          <t>S4-05</t>
        </is>
      </c>
      <c r="B38" s="44" t="inlineStr">
        <is>
          <t>Sprint 4</t>
        </is>
      </c>
      <c r="C38" s="96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96" t="inlineStr">
        <is>
          <t>AI/Brain/Agentic Review</t>
        </is>
      </c>
      <c r="H38" s="96" t="inlineStr">
        <is>
          <t>routers/brain_docs.py:147-213</t>
        </is>
      </c>
      <c r="I38" s="96" t="inlineStr">
        <is>
          <t>L</t>
        </is>
      </c>
      <c r="J38" s="37" t="inlineStr">
        <is>
          <t>Backlog</t>
        </is>
      </c>
      <c r="K38" s="96" t="inlineStr"/>
      <c r="L38" s="96" t="inlineStr"/>
      <c r="M38" s="96" t="inlineStr"/>
      <c r="N38" s="41" t="inlineStr">
        <is>
          <t>No</t>
        </is>
      </c>
      <c r="O38" s="22" t="inlineStr"/>
    </row>
    <row r="39" ht="32" customHeight="1">
      <c r="A39" s="96" t="inlineStr">
        <is>
          <t>S4-06</t>
        </is>
      </c>
      <c r="B39" s="44" t="inlineStr">
        <is>
          <t>Sprint 4</t>
        </is>
      </c>
      <c r="C39" s="96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96" t="inlineStr">
        <is>
          <t>AI/Brain/Agentic Review</t>
        </is>
      </c>
      <c r="H39" s="96" t="inlineStr">
        <is>
          <t>(new infra)</t>
        </is>
      </c>
      <c r="I39" s="96" t="inlineStr">
        <is>
          <t>L</t>
        </is>
      </c>
      <c r="J39" s="37" t="inlineStr">
        <is>
          <t>Backlog</t>
        </is>
      </c>
      <c r="K39" s="96" t="inlineStr"/>
      <c r="L39" s="96" t="inlineStr"/>
      <c r="M39" s="96" t="inlineStr"/>
      <c r="N39" s="41" t="inlineStr">
        <is>
          <t>No</t>
        </is>
      </c>
      <c r="O39" s="22" t="inlineStr"/>
    </row>
    <row r="40" ht="32" customHeight="1">
      <c r="A40" s="96" t="inlineStr">
        <is>
          <t>S4-07</t>
        </is>
      </c>
      <c r="B40" s="44" t="inlineStr">
        <is>
          <t>Sprint 4</t>
        </is>
      </c>
      <c r="C40" s="96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96" t="inlineStr">
        <is>
          <t>AI/Brain/Agentic Review</t>
        </is>
      </c>
      <c r="H40" s="96" t="inlineStr">
        <is>
          <t>routers/brain.py; routers/brain_router.py</t>
        </is>
      </c>
      <c r="I40" s="96" t="inlineStr">
        <is>
          <t>M</t>
        </is>
      </c>
      <c r="J40" s="37" t="inlineStr">
        <is>
          <t>Backlog</t>
        </is>
      </c>
      <c r="K40" s="96" t="inlineStr"/>
      <c r="L40" s="96" t="inlineStr"/>
      <c r="M40" s="96" t="inlineStr"/>
      <c r="N40" s="41" t="inlineStr">
        <is>
          <t>No</t>
        </is>
      </c>
      <c r="O40" s="22" t="inlineStr"/>
    </row>
    <row r="41" ht="32" customHeight="1">
      <c r="A41" s="96" t="inlineStr">
        <is>
          <t>S4-08</t>
        </is>
      </c>
      <c r="B41" s="44" t="inlineStr">
        <is>
          <t>Sprint 4</t>
        </is>
      </c>
      <c r="C41" s="96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96" t="inlineStr">
        <is>
          <t>AI/Brain/Agentic Review</t>
        </is>
      </c>
      <c r="H41" s="96" t="inlineStr">
        <is>
          <t>routers/brain_router.py:266-277,481-482</t>
        </is>
      </c>
      <c r="I41" s="96" t="inlineStr">
        <is>
          <t>L</t>
        </is>
      </c>
      <c r="J41" s="37" t="inlineStr">
        <is>
          <t>Backlog</t>
        </is>
      </c>
      <c r="K41" s="96" t="inlineStr"/>
      <c r="L41" s="96" t="inlineStr"/>
      <c r="M41" s="96" t="inlineStr"/>
      <c r="N41" s="41" t="inlineStr">
        <is>
          <t>No</t>
        </is>
      </c>
      <c r="O41" s="22" t="inlineStr"/>
    </row>
    <row r="42" ht="32" customHeight="1">
      <c r="A42" s="96" t="inlineStr">
        <is>
          <t>S4-09</t>
        </is>
      </c>
      <c r="B42" s="44" t="inlineStr">
        <is>
          <t>Sprint 4</t>
        </is>
      </c>
      <c r="C42" s="96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96" t="inlineStr">
        <is>
          <t>AI/Brain/Agentic Review</t>
        </is>
      </c>
      <c r="H42" s="96" t="inlineStr">
        <is>
          <t>routers/brain_router.py:95,353</t>
        </is>
      </c>
      <c r="I42" s="96" t="inlineStr">
        <is>
          <t>M</t>
        </is>
      </c>
      <c r="J42" s="37" t="inlineStr">
        <is>
          <t>Backlog</t>
        </is>
      </c>
      <c r="K42" s="96" t="inlineStr"/>
      <c r="L42" s="96" t="inlineStr"/>
      <c r="M42" s="96" t="inlineStr"/>
      <c r="N42" s="41" t="inlineStr">
        <is>
          <t>No</t>
        </is>
      </c>
      <c r="O42" s="22" t="inlineStr"/>
    </row>
    <row r="43" ht="32" customHeight="1">
      <c r="A43" s="96" t="inlineStr">
        <is>
          <t>S4-10</t>
        </is>
      </c>
      <c r="B43" s="44" t="inlineStr">
        <is>
          <t>Sprint 4</t>
        </is>
      </c>
      <c r="C43" s="96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96" t="inlineStr">
        <is>
          <t>AI/Brain/Agentic Review</t>
        </is>
      </c>
      <c r="H43" s="96" t="inlineStr">
        <is>
          <t>ledger.py:521-838; server.py (workflow advance, meetings)</t>
        </is>
      </c>
      <c r="I43" s="96" t="inlineStr">
        <is>
          <t>L</t>
        </is>
      </c>
      <c r="J43" s="37" t="inlineStr">
        <is>
          <t>Backlog</t>
        </is>
      </c>
      <c r="K43" s="96" t="inlineStr"/>
      <c r="L43" s="96" t="inlineStr"/>
      <c r="M43" s="96" t="inlineStr"/>
      <c r="N43" s="41" t="inlineStr">
        <is>
          <t>No</t>
        </is>
      </c>
      <c r="O43" s="22" t="inlineStr"/>
    </row>
    <row r="44" ht="32" customHeight="1">
      <c r="A44" s="96" t="inlineStr">
        <is>
          <t>S4-11</t>
        </is>
      </c>
      <c r="B44" s="44" t="inlineStr">
        <is>
          <t>Sprint 4</t>
        </is>
      </c>
      <c r="C44" s="96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96" t="inlineStr">
        <is>
          <t>AI/Brain/Agentic Review</t>
        </is>
      </c>
      <c r="H44" s="96" t="inlineStr">
        <is>
          <t>services/brain_context.py:36-47</t>
        </is>
      </c>
      <c r="I44" s="96" t="inlineStr">
        <is>
          <t>M</t>
        </is>
      </c>
      <c r="J44" s="37" t="inlineStr">
        <is>
          <t>Backlog</t>
        </is>
      </c>
      <c r="K44" s="96" t="inlineStr"/>
      <c r="L44" s="96" t="inlineStr"/>
      <c r="M44" s="96" t="inlineStr"/>
      <c r="N44" s="41" t="inlineStr">
        <is>
          <t>No</t>
        </is>
      </c>
      <c r="O44" s="22" t="inlineStr"/>
    </row>
    <row r="45" ht="32" customHeight="1">
      <c r="A45" s="96" t="inlineStr">
        <is>
          <t>S5-01</t>
        </is>
      </c>
      <c r="B45" s="45" t="inlineStr">
        <is>
          <t>Sprint 5</t>
        </is>
      </c>
      <c r="C45" s="96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96" t="inlineStr">
        <is>
          <t>Go-Live Gate</t>
        </is>
      </c>
      <c r="H45" s="96" t="inlineStr">
        <is>
          <t>(infra)</t>
        </is>
      </c>
      <c r="I45" s="96" t="inlineStr">
        <is>
          <t>M</t>
        </is>
      </c>
      <c r="J45" s="37" t="inlineStr">
        <is>
          <t>Backlog</t>
        </is>
      </c>
      <c r="K45" s="96" t="inlineStr"/>
      <c r="L45" s="96" t="inlineStr"/>
      <c r="M45" s="96" t="inlineStr"/>
      <c r="N45" s="23" t="inlineStr">
        <is>
          <t>Yes</t>
        </is>
      </c>
      <c r="O45" s="22" t="inlineStr"/>
    </row>
    <row r="46" ht="32" customHeight="1">
      <c r="A46" s="96" t="inlineStr">
        <is>
          <t>S5-02</t>
        </is>
      </c>
      <c r="B46" s="45" t="inlineStr">
        <is>
          <t>Sprint 5</t>
        </is>
      </c>
      <c r="C46" s="96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96" t="inlineStr">
        <is>
          <t>Go-Live Gate</t>
        </is>
      </c>
      <c r="H46" s="96" t="inlineStr">
        <is>
          <t>(new)</t>
        </is>
      </c>
      <c r="I46" s="96" t="inlineStr">
        <is>
          <t>M</t>
        </is>
      </c>
      <c r="J46" s="37" t="inlineStr">
        <is>
          <t>Backlog</t>
        </is>
      </c>
      <c r="K46" s="96" t="inlineStr"/>
      <c r="L46" s="96" t="inlineStr"/>
      <c r="M46" s="96" t="inlineStr"/>
      <c r="N46" s="23" t="inlineStr">
        <is>
          <t>Yes</t>
        </is>
      </c>
      <c r="O46" s="22" t="inlineStr"/>
    </row>
    <row r="47" ht="32" customHeight="1">
      <c r="A47" s="96" t="inlineStr">
        <is>
          <t>S5-03</t>
        </is>
      </c>
      <c r="B47" s="45" t="inlineStr">
        <is>
          <t>Sprint 5</t>
        </is>
      </c>
      <c r="C47" s="96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96" t="inlineStr">
        <is>
          <t>SaaS Readiness Review</t>
        </is>
      </c>
      <c r="H47" s="96" t="inlineStr">
        <is>
          <t>(missing)</t>
        </is>
      </c>
      <c r="I47" s="96" t="inlineStr">
        <is>
          <t>M</t>
        </is>
      </c>
      <c r="J47" s="37" t="inlineStr">
        <is>
          <t>Backlog</t>
        </is>
      </c>
      <c r="K47" s="96" t="inlineStr"/>
      <c r="L47" s="96" t="inlineStr"/>
      <c r="M47" s="96" t="inlineStr"/>
      <c r="N47" s="23" t="inlineStr">
        <is>
          <t>Yes</t>
        </is>
      </c>
      <c r="O47" s="22" t="inlineStr"/>
    </row>
    <row r="48" ht="32" customHeight="1">
      <c r="A48" s="96" t="inlineStr">
        <is>
          <t>S5-04</t>
        </is>
      </c>
      <c r="B48" s="45" t="inlineStr">
        <is>
          <t>Sprint 5</t>
        </is>
      </c>
      <c r="C48" s="96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96" t="inlineStr">
        <is>
          <t>SaaS Readiness Review</t>
        </is>
      </c>
      <c r="H48" s="96" t="inlineStr">
        <is>
          <t>(missing)</t>
        </is>
      </c>
      <c r="I48" s="96" t="inlineStr">
        <is>
          <t>M</t>
        </is>
      </c>
      <c r="J48" s="37" t="inlineStr">
        <is>
          <t>Backlog</t>
        </is>
      </c>
      <c r="K48" s="96" t="inlineStr"/>
      <c r="L48" s="96" t="inlineStr"/>
      <c r="M48" s="96" t="inlineStr"/>
      <c r="N48" s="23" t="inlineStr">
        <is>
          <t>Yes</t>
        </is>
      </c>
      <c r="O48" s="22" t="inlineStr"/>
    </row>
    <row r="49" ht="32" customHeight="1">
      <c r="A49" s="96" t="inlineStr">
        <is>
          <t>S5-05</t>
        </is>
      </c>
      <c r="B49" s="45" t="inlineStr">
        <is>
          <t>Sprint 5</t>
        </is>
      </c>
      <c r="C49" s="96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96" t="inlineStr">
        <is>
          <t>Go-Live Gate</t>
        </is>
      </c>
      <c r="H49" s="96" t="inlineStr">
        <is>
          <t>(new)</t>
        </is>
      </c>
      <c r="I49" s="96" t="inlineStr">
        <is>
          <t>L</t>
        </is>
      </c>
      <c r="J49" s="37" t="inlineStr">
        <is>
          <t>Backlog</t>
        </is>
      </c>
      <c r="K49" s="96" t="inlineStr"/>
      <c r="L49" s="96" t="inlineStr"/>
      <c r="M49" s="96" t="inlineStr"/>
      <c r="N49" s="23" t="inlineStr">
        <is>
          <t>Yes</t>
        </is>
      </c>
      <c r="O49" s="22" t="inlineStr"/>
    </row>
    <row r="50" ht="32" customHeight="1">
      <c r="A50" s="96" t="inlineStr">
        <is>
          <t>S5-06</t>
        </is>
      </c>
      <c r="B50" s="45" t="inlineStr">
        <is>
          <t>Sprint 5</t>
        </is>
      </c>
      <c r="C50" s="96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96" t="inlineStr">
        <is>
          <t>Go-Live Gate</t>
        </is>
      </c>
      <c r="H50" s="96" t="inlineStr">
        <is>
          <t>backend/pytest.ini, backend/tests/</t>
        </is>
      </c>
      <c r="I50" s="96" t="inlineStr">
        <is>
          <t>M</t>
        </is>
      </c>
      <c r="J50" s="37" t="inlineStr">
        <is>
          <t>Backlog</t>
        </is>
      </c>
      <c r="K50" s="96" t="inlineStr"/>
      <c r="L50" s="96" t="inlineStr"/>
      <c r="M50" s="96" t="inlineStr"/>
      <c r="N50" s="23" t="inlineStr">
        <is>
          <t>Yes</t>
        </is>
      </c>
      <c r="O50" s="22" t="inlineStr"/>
    </row>
    <row r="51" ht="32" customHeight="1">
      <c r="A51" s="96" t="inlineStr">
        <is>
          <t>S5-07</t>
        </is>
      </c>
      <c r="B51" s="45" t="inlineStr">
        <is>
          <t>Sprint 5</t>
        </is>
      </c>
      <c r="C51" s="96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96" t="inlineStr">
        <is>
          <t>Go-Live Gate</t>
        </is>
      </c>
      <c r="H51" s="96" t="inlineStr">
        <is>
          <t>(new)</t>
        </is>
      </c>
      <c r="I51" s="96" t="inlineStr">
        <is>
          <t>S</t>
        </is>
      </c>
      <c r="J51" s="37" t="inlineStr">
        <is>
          <t>Backlog</t>
        </is>
      </c>
      <c r="K51" s="96" t="inlineStr"/>
      <c r="L51" s="96" t="inlineStr"/>
      <c r="M51" s="96" t="inlineStr"/>
      <c r="N51" s="23" t="inlineStr">
        <is>
          <t>Yes</t>
        </is>
      </c>
      <c r="O51" s="22" t="inlineStr"/>
    </row>
    <row r="52" ht="32" customHeight="1">
      <c r="A52" s="96" t="inlineStr">
        <is>
          <t>S5-08</t>
        </is>
      </c>
      <c r="B52" s="45" t="inlineStr">
        <is>
          <t>Sprint 5</t>
        </is>
      </c>
      <c r="C52" s="96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96" t="inlineStr">
        <is>
          <t>SaaS Readiness Review</t>
        </is>
      </c>
      <c r="H52" s="96" t="inlineStr">
        <is>
          <t>backend/.env, config.py</t>
        </is>
      </c>
      <c r="I52" s="96" t="inlineStr">
        <is>
          <t>S</t>
        </is>
      </c>
      <c r="J52" s="37" t="inlineStr">
        <is>
          <t>Backlog</t>
        </is>
      </c>
      <c r="K52" s="96" t="inlineStr"/>
      <c r="L52" s="96" t="inlineStr"/>
      <c r="M52" s="96" t="inlineStr"/>
      <c r="N52" s="23" t="inlineStr">
        <is>
          <t>Yes</t>
        </is>
      </c>
      <c r="O52" s="22" t="inlineStr"/>
    </row>
    <row r="53" ht="32" customHeight="1">
      <c r="A53" s="96" t="inlineStr">
        <is>
          <t>S5-09</t>
        </is>
      </c>
      <c r="B53" s="45" t="inlineStr">
        <is>
          <t>Sprint 5</t>
        </is>
      </c>
      <c r="C53" s="96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96" t="inlineStr">
        <is>
          <t>Go-Live Gate</t>
        </is>
      </c>
      <c r="H53" s="96" t="inlineStr">
        <is>
          <t>(process)</t>
        </is>
      </c>
      <c r="I53" s="96" t="inlineStr">
        <is>
          <t>S</t>
        </is>
      </c>
      <c r="J53" s="37" t="inlineStr">
        <is>
          <t>Backlog</t>
        </is>
      </c>
      <c r="K53" s="96" t="inlineStr"/>
      <c r="L53" s="96" t="inlineStr"/>
      <c r="M53" s="96" t="inlineStr"/>
      <c r="N53" s="23" t="inlineStr">
        <is>
          <t>Yes</t>
        </is>
      </c>
      <c r="O53" s="22" t="inlineStr"/>
    </row>
    <row r="54" ht="32" customHeight="1">
      <c r="A54" s="96" t="inlineStr">
        <is>
          <t>S5-10</t>
        </is>
      </c>
      <c r="B54" s="45" t="inlineStr">
        <is>
          <t>Sprint 5</t>
        </is>
      </c>
      <c r="C54" s="96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96" t="inlineStr">
        <is>
          <t>Go-Live Gate</t>
        </is>
      </c>
      <c r="H54" s="96" t="inlineStr">
        <is>
          <t>(process)</t>
        </is>
      </c>
      <c r="I54" s="96" t="inlineStr">
        <is>
          <t>S</t>
        </is>
      </c>
      <c r="J54" s="37" t="inlineStr">
        <is>
          <t>Backlog</t>
        </is>
      </c>
      <c r="K54" s="96" t="inlineStr"/>
      <c r="L54" s="96" t="inlineStr"/>
      <c r="M54" s="96" t="inlineStr"/>
      <c r="N54" s="23" t="inlineStr">
        <is>
          <t>Yes</t>
        </is>
      </c>
      <c r="O54" s="22" t="inlineStr"/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6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Module 1 shipped: 6 fixes, 99/99 offline tests. 9 follow-ups logged during QA discipline (backlog rows below).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(bakery, salon, boutique, clinic) now get their full workflow + approval + finance + cleanup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 9 follow-ups logged.</t>
        </is>
      </c>
    </row>
    <row r="7" ht="75" customHeight="1">
      <c r="A7" s="94" t="inlineStr">
        <is>
          <t>Module 2</t>
        </is>
      </c>
      <c r="B7" s="95" t="inlineStr">
        <is>
          <t>Next: TBD (see Sprint tracker)</t>
        </is>
      </c>
      <c r="C7" s="95" t="inlineStr">
        <is>
          <t>Candidates: Sprint 0 (Auth/Security, deferred by user), Sprint 1 (Scale/Ops - external scheduler, phone index, obj_store migration, Dockerfile), Sprint 3 (Billing + per-tenant AI keys). User picks.</t>
        </is>
      </c>
      <c r="D7" s="95" t="inlineStr">
        <is>
          <t>TBD</t>
        </is>
      </c>
      <c r="E7" s="95" t="inlineStr">
        <is>
          <t>Not started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2" t="inlineStr">
        <is>
          <t>FIX-001-A</t>
        </is>
      </c>
      <c r="B11" s="102" t="inlineStr">
        <is>
          <t>Multi-tenant / Dynamic Workflows</t>
        </is>
      </c>
      <c r="C11" s="102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loop, 'pending purchases' dashboard, and payment-overdue alerts filtered on the literal string 'purchase_payment' — silently broke for any non-textile tenant (bakery, salon, boutique) whose AI-designed procurement pipeline was keyed differently. Fix uses per-tenant pipeline lookup via the tenant's operating_model.</t>
        </is>
      </c>
      <c r="F11" s="22" t="inlineStr">
        <is>
          <t>routers/decisions.py:166; server.py:2429; routers/brief.py:95,98,238,262 (4 sites)</t>
        </is>
      </c>
      <c r="G11" s="22" t="inlineStr">
        <is>
          <t>tests/test_workflows_dynamic.py — 19 tests (helper + integration-shaped filter-assembly)</t>
        </is>
      </c>
      <c r="H11" s="101" t="inlineStr">
        <is>
          <t>Done</t>
        </is>
      </c>
      <c r="I11" s="36" t="inlineStr">
        <is>
          <t>P0</t>
        </is>
      </c>
      <c r="J11" s="102" t="inlineStr">
        <is>
          <t>2026-08-04</t>
        </is>
      </c>
      <c r="K11" s="102" t="inlineStr">
        <is>
          <t>2026-08-04</t>
        </is>
      </c>
      <c r="L11" s="102" t="inlineStr">
        <is>
          <t>cb84474 + 69f4ce3 (QA round)</t>
        </is>
      </c>
      <c r="M11" s="22" t="inlineStr">
        <is>
          <t>Non-textile tenants now get their owner sign-off + pending-purchases dashboard + payment-overdue alerts back. First unblock for selling to any small business that isn't a manufacturer.</t>
        </is>
      </c>
    </row>
    <row r="12" ht="105" customHeight="1">
      <c r="A12" s="102" t="inlineStr">
        <is>
          <t>FIX-001-B</t>
        </is>
      </c>
      <c r="B12" s="102" t="inlineStr">
        <is>
          <t>Multi-tenant / Dynamic Workflows</t>
        </is>
      </c>
      <c r="C12" s="102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When a workflow advances to its procurement terminal stage, auto-create a pending-bill expense in Finance with status='awaiting_bill', pre-filled amount + vendor, linked back via workflow_id. Notify finance role. Idempotent, fire-and-forget so a Finance-side failure never 500s the workflow advance.</t>
        </is>
      </c>
      <c r="F12" s="22" t="inlineStr">
        <is>
          <t>server.py:2236 advance_workflow; routers/ledger.py:222 create_expense (accepts awaiting_bill + workflow_id fields)</t>
        </is>
      </c>
      <c r="G12" s="22" t="inlineStr">
        <is>
          <t>tests/test_workflow_finance_link.py — 17 tests (decision + payload + notify filter + create_expense contract)</t>
        </is>
      </c>
      <c r="H12" s="101" t="inlineStr">
        <is>
          <t>Done</t>
        </is>
      </c>
      <c r="I12" s="38" t="inlineStr">
        <is>
          <t>P1</t>
        </is>
      </c>
      <c r="J12" s="102" t="inlineStr">
        <is>
          <t>2026-08-04</t>
        </is>
      </c>
      <c r="K12" s="102" t="inlineStr">
        <is>
          <t>2026-08-09</t>
        </is>
      </c>
      <c r="L12" s="102" t="inlineStr">
        <is>
          <t>98d0291</t>
        </is>
      </c>
      <c r="M12" s="22" t="inlineStr">
        <is>
          <t>Founder no longer records purchases twice. Workflow board and Finance are now linked. Bill upload -&gt; OCR promotion flow is a separately-tracked follow-up.</t>
        </is>
      </c>
    </row>
    <row r="13" ht="105" customHeight="1">
      <c r="A13" s="102" t="inlineStr">
        <is>
          <t>FIX-001-C</t>
        </is>
      </c>
      <c r="B13" s="102" t="inlineStr">
        <is>
          <t>Multi-tenant / Data Integrity</t>
        </is>
      </c>
      <c r="C13" s="102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that filtered by {'id': X} after a tenant-scoped read is now routed through services/tenancy.py::tenant_filter() which pins BOTH id AND tenant_id. Python-level TypeError blocks any attempt to smuggle a different tenant_id via extra kwargs. Removes the biggest silent risk in the codebase.</t>
        </is>
      </c>
      <c r="F13" s="22" t="inlineStr">
        <is>
          <t>services/tenancy.py (new); ~25 sites across routers/decisions.py, routers/tasks.py, routers/brain_docs.py, server.py</t>
        </is>
      </c>
      <c r="G13" s="22" t="inlineStr">
        <is>
          <t>tests/test_tenancy_helpers.py — 16 tests (including the crown-jewel 'bakery tries to edit salon task via leaked ID -&gt; 404, indistinguishable from missing')</t>
        </is>
      </c>
      <c r="H13" s="101" t="inlineStr">
        <is>
          <t>Done</t>
        </is>
      </c>
      <c r="I13" s="38" t="inlineStr">
        <is>
          <t>P1</t>
        </is>
      </c>
      <c r="J13" s="102" t="inlineStr">
        <is>
          <t>2026-08-04</t>
        </is>
      </c>
      <c r="K13" s="102" t="inlineStr">
        <is>
          <t>2026-08-09</t>
        </is>
      </c>
      <c r="L13" s="102" t="inlineStr">
        <is>
          <t>da29cfd</t>
        </is>
      </c>
      <c r="M13" s="22" t="inlineStr">
        <is>
          <t>Initial audit said '13 sites' - full grep found 25+. Discipline lesson: always grep the file after a refactor, before commit. That rule caught the extra sites.</t>
        </is>
      </c>
    </row>
    <row r="14" ht="105" customHeight="1">
      <c r="A14" s="102" t="inlineStr">
        <is>
          <t>FIX-001-D</t>
        </is>
      </c>
      <c r="B14" s="102" t="inlineStr">
        <is>
          <t>Multi-tenant / Onboarding</t>
        </is>
      </c>
      <c r="C14" s="102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(1) silent AI degradation - 5 AI calls happen during signup and any silent fallback (e.g. bakery getting textile boards) is now recorded on tenant.ai_setup_status; frontend can show 'AI setup incomplete - click to regenerate' banner; POST /api/tenant/ai-setup/retry re-runs only failed generators. (2) Data loss on failure - new onboarding_drafts collection with PATCH-per-step persistence + register accepts optional draft_id and merges saved wizard data.</t>
        </is>
      </c>
      <c r="F14" s="22" t="inlineStr">
        <is>
          <t>services/ai_setup.py (new); services/onboarding_drafts.py (new); routers/onboarding.py (+5 endpoints); routers/auth.py::register</t>
        </is>
      </c>
      <c r="G14" s="22" t="inlineStr">
        <is>
          <t>tests/test_onboarding_flow.py — 27 tests (draft CRUD, merge semantics, AI status wrappers, summarize)</t>
        </is>
      </c>
      <c r="H14" s="101" t="inlineStr">
        <is>
          <t>Done</t>
        </is>
      </c>
      <c r="I14" s="38" t="inlineStr">
        <is>
          <t>P1</t>
        </is>
      </c>
      <c r="J14" s="102" t="inlineStr">
        <is>
          <t>2026-08-09</t>
        </is>
      </c>
      <c r="K14" s="102" t="inlineStr">
        <is>
          <t>2026-08-09</t>
        </is>
      </c>
      <c r="L14" s="102" t="inlineStr">
        <is>
          <t>3bc0059</t>
        </is>
      </c>
      <c r="M14" s="22" t="inlineStr">
        <is>
          <t>Comprehensive-scope 3e (idempotent register by draft_id) deferred by user choice. TTL index on onboarding_drafts is a bootstrap follow-up.</t>
        </is>
      </c>
    </row>
    <row r="15" ht="105" customHeight="1">
      <c r="A15" s="102" t="inlineStr">
        <is>
          <t>FIX-001-E</t>
        </is>
      </c>
      <c r="B15" s="102" t="inlineStr">
        <is>
          <t>Multi-tenant / Data Integrity</t>
        </is>
      </c>
      <c r="C15" s="102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was missing brain_context (singular - the decision-provenance memory) and brain_documents. Also never touched object-storage files, so uploaded PDFs/photos lingered forever after tenant 'deletion'. Rebuilt the list to 30 collections. admin_delete_tenant now iterates db.files per-tenant and calls new obj_store.delete_object(path) on each. Best-effort file deletion: single storage failure cannot block the DB wipe (compliance requires records go regardless).</t>
        </is>
      </c>
      <c r="F15" s="22" t="inlineStr">
        <is>
          <t>routers/admin.py TENANT_COLLECTIONS + admin_delete_tenant; services/obj_store.py::delete_object (new)</t>
        </is>
      </c>
      <c r="G15" s="22" t="inlineStr">
        <is>
          <t>tests/test_tenant_deletion.py — 8 tests (including drift-detection: seed every collection, delete, assert zero rows; plus naming-collision guard for brain_context vs brain_contexts)</t>
        </is>
      </c>
      <c r="H15" s="101" t="inlineStr">
        <is>
          <t>Done</t>
        </is>
      </c>
      <c r="I15" s="38" t="inlineStr">
        <is>
          <t>P1</t>
        </is>
      </c>
      <c r="J15" s="102" t="inlineStr">
        <is>
          <t>2026-08-04</t>
        </is>
      </c>
      <c r="K15" s="102" t="inlineStr">
        <is>
          <t>2026-08-04</t>
        </is>
      </c>
      <c r="L15" s="102" t="inlineStr">
        <is>
          <t>65cea2c</t>
        </is>
      </c>
      <c r="M15" s="22" t="inlineStr">
        <is>
          <t>Legacy local-disk files (voice_notes/meetings/ingestions audio_path) not cleaned - depends on Sprint 1 S1-03 to move all uploads to obj_store.</t>
        </is>
      </c>
    </row>
    <row r="16" ht="105" customHeight="1">
      <c r="A16" s="102" t="inlineStr">
        <is>
          <t>FIX-001-F</t>
        </is>
      </c>
      <c r="B16" s="102" t="inlineStr">
        <is>
          <t>Multi-tenant / Dynamic Workflows</t>
        </is>
      </c>
      <c r="C16" s="102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in server.py hardcoded ['delivered', 'paid'] as terminal stages - so a salon's 'served' bookings or bakery's 'settled' orders counted as 'active' forever. New services/workflows.py::all_terminal_stages(om) resolves each pipeline's terminal stage + keeps legacy hedge for old textile cards. All 4 sites now use dynamic exclusion. Audit called out 1 site - grep found 4.</t>
        </is>
      </c>
      <c r="F16" s="22" t="inlineStr">
        <is>
          <t>services/workflows.py (2 new helpers); server.py:2500 dashboard, :3697 contact 360, :3745 contact rescore, :3911 calendar deliveries (terminal-stage part)</t>
        </is>
      </c>
      <c r="G16" s="22" t="inlineStr">
        <is>
          <t>tests/test_workflows_dynamic.py — 12 additional tests (2 new test classes)</t>
        </is>
      </c>
      <c r="H16" s="101" t="inlineStr">
        <is>
          <t>Done</t>
        </is>
      </c>
      <c r="I16" s="42" t="inlineStr">
        <is>
          <t>P2</t>
        </is>
      </c>
      <c r="J16" s="102" t="inlineStr">
        <is>
          <t>2026-08-09</t>
        </is>
      </c>
      <c r="K16" s="102" t="inlineStr">
        <is>
          <t>2026-08-09</t>
        </is>
      </c>
      <c r="L16" s="102" t="inlineStr">
        <is>
          <t>8235c61</t>
        </is>
      </c>
      <c r="M16" s="22" t="inlineStr">
        <is>
          <t>Calendar deliveries also hardcodes pipeline TYPES ['distribution', 'sales_dispatch'] - separately tracked (needs tenant_sales_pipeline resolver mirroring the procurement one).</t>
        </is>
      </c>
    </row>
    <row r="17" ht="105" customHeight="1">
      <c r="A17" s="102" t="inlineStr">
        <is>
          <t>FIX-FUP-01</t>
        </is>
      </c>
      <c r="B17" s="102" t="inlineStr">
        <is>
          <t>Follow-up (from FIX-001-A)</t>
        </is>
      </c>
      <c r="C17" s="102" t="inlineStr">
        <is>
          <t>(logged during A)</t>
        </is>
      </c>
      <c r="D17" s="22" t="inlineStr">
        <is>
          <t>Delete WORKFLOW_OWNER_ROLE dead code</t>
        </is>
      </c>
      <c r="E17" s="22" t="inlineStr">
        <is>
          <t>server.py:212 defines WORKFLOW_OWNER_ROLE dict - confirmed by the workflow audit that nothing references it. Delete it in a cleanup commit to avoid future confusion.</t>
        </is>
      </c>
      <c r="F17" s="22" t="inlineStr">
        <is>
          <t>server.py:212</t>
        </is>
      </c>
      <c r="G17" s="22" t="inlineStr">
        <is>
          <t>test: import check + grep for zero references</t>
        </is>
      </c>
      <c r="H17" s="37" t="inlineStr">
        <is>
          <t>Not Started</t>
        </is>
      </c>
      <c r="I17" s="42" t="inlineStr">
        <is>
          <t>P2</t>
        </is>
      </c>
      <c r="J17" s="102" t="inlineStr"/>
      <c r="K17" s="102" t="inlineStr"/>
      <c r="L17" s="102" t="inlineStr"/>
      <c r="M17" s="22" t="inlineStr">
        <is>
          <t>Dead code cleanup. Tiny.</t>
        </is>
      </c>
    </row>
    <row r="18" ht="105" customHeight="1">
      <c r="A18" s="102" t="inlineStr">
        <is>
          <t>FIX-FUP-02</t>
        </is>
      </c>
      <c r="B18" s="102" t="inlineStr">
        <is>
          <t>Follow-up (from FIX-001-A)</t>
        </is>
      </c>
      <c r="C18" s="102" t="inlineStr">
        <is>
          <t>(logged during A)</t>
        </is>
      </c>
      <c r="D18" s="22" t="inlineStr">
        <is>
          <t>Clean 'purchase_payment' from AI onboarding prompt</t>
        </is>
      </c>
      <c r="E18" s="22" t="inlineStr">
        <is>
          <t>server.py:1094,1103 - the operating-model AI generation prompt uses 'purchase_payment' as an example pipeline key. Could bias the AI toward emitting the textile key even for non-textile tenants. Replace the example with a generic 'procurement' label.</t>
        </is>
      </c>
      <c r="F18" s="22" t="inlineStr">
        <is>
          <t>server.py:1094, 1103</t>
        </is>
      </c>
      <c r="G18" s="22" t="inlineStr">
        <is>
          <t>test: onboard a synthetic non-textile tenant, assert their operating_model doesn't contain 'purchase_payment' as a key</t>
        </is>
      </c>
      <c r="H18" s="37" t="inlineStr">
        <is>
          <t>Not Started</t>
        </is>
      </c>
      <c r="I18" s="42" t="inlineStr">
        <is>
          <t>P2</t>
        </is>
      </c>
      <c r="J18" s="102" t="inlineStr"/>
      <c r="K18" s="102" t="inlineStr"/>
      <c r="L18" s="102" t="inlineStr"/>
      <c r="M18" s="22" t="inlineStr">
        <is>
          <t>Prevents the same textile leak from re-appearing via the AI prompt.</t>
        </is>
      </c>
    </row>
    <row r="19" ht="105" customHeight="1">
      <c r="A19" s="102" t="inlineStr">
        <is>
          <t>FIX-FUP-03</t>
        </is>
      </c>
      <c r="B19" s="102" t="inlineStr">
        <is>
          <t>Follow-up (from FIX-001-A)</t>
        </is>
      </c>
      <c r="C19" s="102" t="inlineStr">
        <is>
          <t>(logged during A)</t>
        </is>
      </c>
      <c r="D19" s="22" t="inlineStr">
        <is>
          <t>Memoize tenant_procurement_pipeline in brief.py</t>
        </is>
      </c>
      <c r="E19" s="22" t="inlineStr">
        <is>
          <t>brief.py calls tenant_procurement_pipeline TWICE per brief request (once for counter, once for drill-down). Extra DB read; not a correctness bug, minor inefficiency. Cache within the request scope or refactor to fetch once.</t>
        </is>
      </c>
      <c r="F19" s="22" t="inlineStr">
        <is>
          <t>routers/brief.py</t>
        </is>
      </c>
      <c r="G19" s="22" t="inlineStr">
        <is>
          <t>test: mock tenant_operating_model, call brief endpoint, assert TP is called exactly once</t>
        </is>
      </c>
      <c r="H19" s="37" t="inlineStr">
        <is>
          <t>Not Started</t>
        </is>
      </c>
      <c r="I19" s="42" t="inlineStr">
        <is>
          <t>P2</t>
        </is>
      </c>
      <c r="J19" s="102" t="inlineStr"/>
      <c r="K19" s="102" t="inlineStr"/>
      <c r="L19" s="102" t="inlineStr"/>
      <c r="M19" s="22" t="inlineStr">
        <is>
          <t>Small perf tidy.</t>
        </is>
      </c>
    </row>
    <row r="20" ht="105" customHeight="1">
      <c r="A20" s="102" t="inlineStr">
        <is>
          <t>FIX-FUP-04</t>
        </is>
      </c>
      <c r="B20" s="102" t="inlineStr">
        <is>
          <t>Follow-up (from FIX-001-B)</t>
        </is>
      </c>
      <c r="C20" s="102" t="inlineStr">
        <is>
          <t>(logged during B)</t>
        </is>
      </c>
      <c r="D20" s="22" t="inlineStr">
        <is>
          <t>Unique index on expenses.(tenant_id, workflow_id)</t>
        </is>
      </c>
      <c r="E20" s="22" t="inlineStr">
        <is>
          <t>The FIX-001-B check for existing expense + insert is not atomic. Very unlikely race (two users advancing to terminal simultaneously) could double-create. Close by adding a unique compound index in the bootstrap.</t>
        </is>
      </c>
      <c r="F20" s="22" t="inlineStr">
        <is>
          <t>server.py bootstrap (index creation block)</t>
        </is>
      </c>
      <c r="G20" s="22" t="inlineStr">
        <is>
          <t>test: attempt two concurrent create_expense calls with same workflow_id; assert only one row + second gets DuplicateKeyError</t>
        </is>
      </c>
      <c r="H20" s="37" t="inlineStr">
        <is>
          <t>Not Started</t>
        </is>
      </c>
      <c r="I20" s="42" t="inlineStr">
        <is>
          <t>P2</t>
        </is>
      </c>
      <c r="J20" s="102" t="inlineStr"/>
      <c r="K20" s="102" t="inlineStr"/>
      <c r="L20" s="102" t="inlineStr"/>
      <c r="M20" s="22" t="inlineStr">
        <is>
          <t>Belt-and-braces for the FIX-001-B idempotency check.</t>
        </is>
      </c>
    </row>
    <row r="21" ht="105" customHeight="1">
      <c r="A21" s="102" t="inlineStr">
        <is>
          <t>FIX-FUP-05</t>
        </is>
      </c>
      <c r="B21" s="102" t="inlineStr">
        <is>
          <t>Follow-up (from FIX-001-B)</t>
        </is>
      </c>
      <c r="C21" s="102" t="inlineStr">
        <is>
          <t>(logged during B)</t>
        </is>
      </c>
      <c r="D21" s="22" t="inlineStr">
        <is>
          <t>Bill upload -&gt; OCR promotion flow (Finance side)</t>
        </is>
      </c>
      <c r="E21" s="22" t="inlineStr">
        <is>
          <t>Complete the story FIX-001-B started: when Finance uploads a bill file against an awaiting_bill expense, Gemini OCR extracts the real amount + line items, expense flips from awaiting_bill to reconciled/paid with attachment. The upload endpoint + OCR pipeline already exist separately - this is the wiring between them.</t>
        </is>
      </c>
      <c r="F21" s="22" t="inlineStr">
        <is>
          <t>routers/ledger.py + existing OCR pipeline</t>
        </is>
      </c>
      <c r="G21" s="22" t="inlineStr">
        <is>
          <t>test: mock OCR, POST upload against awaiting_bill expense, assert status transition + attachment set</t>
        </is>
      </c>
      <c r="H21" s="37" t="inlineStr">
        <is>
          <t>Not Started</t>
        </is>
      </c>
      <c r="I21" s="38" t="inlineStr">
        <is>
          <t>P1</t>
        </is>
      </c>
      <c r="J21" s="102" t="inlineStr"/>
      <c r="K21" s="102" t="inlineStr"/>
      <c r="L21" s="102" t="inlineStr"/>
      <c r="M21" s="22" t="inlineStr">
        <is>
          <t>The 'one-click reconciliation' finishing move for the workflow -&gt; Finance loop.</t>
        </is>
      </c>
    </row>
    <row r="22" ht="105" customHeight="1">
      <c r="A22" s="102" t="inlineStr">
        <is>
          <t>FIX-FUP-06</t>
        </is>
      </c>
      <c r="B22" s="102" t="inlineStr">
        <is>
          <t>Follow-up (from FIX-001-C)</t>
        </is>
      </c>
      <c r="C22" s="102" t="inlineStr">
        <is>
          <t>(logged during C)</t>
        </is>
      </c>
      <c r="D22" s="22" t="inlineStr">
        <is>
          <t>'id' footgun in tenant_filter (extra kwargs can overwrite it)</t>
        </is>
      </c>
      <c r="E22" s="22" t="inlineStr">
        <is>
          <t>tenant_filter's belt-and-braces protection blocks tenant_id override (Python TypeError). But 'id' isn't a named parameter, so a caller passing id='attacker_id' via extras CAN overwrite the doc id (though tenant scope still holds). Documented in tests but worth an explicit reject.</t>
        </is>
      </c>
      <c r="F22" s="22" t="inlineStr">
        <is>
          <t>services/tenancy.py</t>
        </is>
      </c>
      <c r="G22" s="22" t="inlineStr">
        <is>
          <t>test already documents the footgun; a stricter version would raise on any extras named 'id'</t>
        </is>
      </c>
      <c r="H22" s="37" t="inlineStr">
        <is>
          <t>Not Started</t>
        </is>
      </c>
      <c r="I22" s="42" t="inlineStr">
        <is>
          <t>P2</t>
        </is>
      </c>
      <c r="J22" s="102" t="inlineStr"/>
      <c r="K22" s="102" t="inlineStr"/>
      <c r="L22" s="102" t="inlineStr"/>
      <c r="M22" s="22" t="inlineStr">
        <is>
          <t>Cosmetic hardening.</t>
        </is>
      </c>
    </row>
    <row r="23" ht="105" customHeight="1">
      <c r="A23" s="102" t="inlineStr">
        <is>
          <t>FIX-FUP-07</t>
        </is>
      </c>
      <c r="B23" s="102" t="inlineStr">
        <is>
          <t>Follow-up (from FIX-001-D)</t>
        </is>
      </c>
      <c r="C23" s="102" t="inlineStr">
        <is>
          <t>(logged during D)</t>
        </is>
      </c>
      <c r="D23" s="22" t="inlineStr">
        <is>
          <t>TTL index on onboarding_drafts (auto-cleanup unfinished drafts)</t>
        </is>
      </c>
      <c r="E23" s="22" t="inlineStr">
        <is>
          <t>Drafts should auto-expire ~30 days after last update so abandoned onboarding sessions don't accumulate. Bootstrap: db.onboarding_drafts.create_index('updated_at', expireAfterSeconds=30*86400).</t>
        </is>
      </c>
      <c r="F23" s="22" t="inlineStr">
        <is>
          <t>server.py bootstrap block</t>
        </is>
      </c>
      <c r="G23" s="22" t="inlineStr">
        <is>
          <t>test: verify index exists after boot</t>
        </is>
      </c>
      <c r="H23" s="37" t="inlineStr">
        <is>
          <t>Not Started</t>
        </is>
      </c>
      <c r="I23" s="42" t="inlineStr">
        <is>
          <t>P2</t>
        </is>
      </c>
      <c r="J23" s="102" t="inlineStr"/>
      <c r="K23" s="102" t="inlineStr"/>
      <c r="L23" s="102" t="inlineStr"/>
      <c r="M23" s="22" t="inlineStr">
        <is>
          <t>Small bootstrap tweak; keeps the pre-tenant store from growing forever.</t>
        </is>
      </c>
    </row>
    <row r="24" ht="105" customHeight="1">
      <c r="A24" s="102" t="inlineStr">
        <is>
          <t>FIX-FUP-08</t>
        </is>
      </c>
      <c r="B24" s="102" t="inlineStr">
        <is>
          <t>Follow-up (from FIX-001-D)</t>
        </is>
      </c>
      <c r="C24" s="102" t="inlineStr">
        <is>
          <t>(logged during D)</t>
        </is>
      </c>
      <c r="D24" s="22" t="inlineStr">
        <is>
          <t>Idempotent register by draft_id (Comprehensive-scope 3e)</t>
        </is>
      </c>
      <c r="E24" s="22" t="inlineStr">
        <is>
          <t>The 'network drops during /register, user retries, gets Email already registered 400' case. Deferred by user choice (Balanced scope). Fix: if a draft is marked completed with tenant_id set, return the existing tenant's session on retry instead of 400.</t>
        </is>
      </c>
      <c r="F24" s="22" t="inlineStr">
        <is>
          <t>routers/auth.py::register</t>
        </is>
      </c>
      <c r="G24" s="22" t="inlineStr">
        <is>
          <t>test: call register with draft_id twice; second call returns existing tenant + token, no 'email already registered' error</t>
        </is>
      </c>
      <c r="H24" s="37" t="inlineStr">
        <is>
          <t>Not Started</t>
        </is>
      </c>
      <c r="I24" s="38" t="inlineStr">
        <is>
          <t>P1</t>
        </is>
      </c>
      <c r="J24" s="102" t="inlineStr"/>
      <c r="K24" s="102" t="inlineStr"/>
      <c r="L24" s="102" t="inlineStr"/>
      <c r="M24" s="22" t="inlineStr">
        <is>
          <t>Closes the last onboarding-flow paper cut.</t>
        </is>
      </c>
    </row>
    <row r="25" ht="105" customHeight="1">
      <c r="A25" s="102" t="inlineStr">
        <is>
          <t>FIX-FUP-09</t>
        </is>
      </c>
      <c r="B25" s="102" t="inlineStr">
        <is>
          <t>Follow-up (from FIX-001-F)</t>
        </is>
      </c>
      <c r="C25" s="102" t="inlineStr">
        <is>
          <t>(logged during F)</t>
        </is>
      </c>
      <c r="D25" s="22" t="inlineStr">
        <is>
          <t>tenant_sales_pipeline resolver (mirror of procurement)</t>
        </is>
      </c>
      <c r="E25" s="22" t="inlineStr">
        <is>
          <t>Calendar deliveries at server.py:3911 hardcodes pipeline TYPES ['distribution', 'sales_dispatch']. Non-textile tenants have sales pipelines keyed differently (order_fulfilment, appointments, etc.). Add a tenant_sales_pipeline resolver similar to tenant_procurement_pipeline.</t>
        </is>
      </c>
      <c r="F25" s="22" t="inlineStr">
        <is>
          <t>services/workflows.py + calendar endpoint</t>
        </is>
      </c>
      <c r="G25" s="22" t="inlineStr">
        <is>
          <t>tests: bakery order_fulfilment pipeline shows in calendar deliveries</t>
        </is>
      </c>
      <c r="H25" s="37" t="inlineStr">
        <is>
          <t>Not Started</t>
        </is>
      </c>
      <c r="I25" s="42" t="inlineStr">
        <is>
          <t>P2</t>
        </is>
      </c>
      <c r="J25" s="102" t="inlineStr"/>
      <c r="K25" s="102" t="inlineStr"/>
      <c r="L25" s="102" t="inlineStr"/>
      <c r="M25" s="22" t="inlineStr">
        <is>
          <t>Extends the FIX-001-A pattern to the sales/delivery side.</t>
        </is>
      </c>
    </row>
    <row r="28">
      <c r="A28" s="57" t="inlineStr">
        <is>
          <t>Status legend:</t>
        </is>
      </c>
    </row>
    <row r="29">
      <c r="A29" s="37" t="inlineStr">
        <is>
          <t>Not Started</t>
        </is>
      </c>
      <c r="B29" s="97" t="inlineStr">
        <is>
          <t>In backlog, no work yet</t>
        </is>
      </c>
    </row>
    <row r="30">
      <c r="A30" s="98" t="inlineStr">
        <is>
          <t>Planning</t>
        </is>
      </c>
      <c r="B30" s="97" t="inlineStr">
        <is>
          <t>Reading code, scoping the fix, drafting approach</t>
        </is>
      </c>
    </row>
    <row r="31">
      <c r="A31" s="99" t="inlineStr">
        <is>
          <t>In Progress</t>
        </is>
      </c>
      <c r="B31" s="97" t="inlineStr">
        <is>
          <t>Writing the fix</t>
        </is>
      </c>
    </row>
    <row r="32">
      <c r="A32" s="38" t="inlineStr">
        <is>
          <t>Code Review</t>
        </is>
      </c>
      <c r="B32" s="97" t="inlineStr">
        <is>
          <t>Fix written, awaiting review / self-review</t>
        </is>
      </c>
    </row>
    <row r="33">
      <c r="A33" s="100" t="inlineStr">
        <is>
          <t>Testing</t>
        </is>
      </c>
      <c r="B33" s="97" t="inlineStr">
        <is>
          <t>Tests running (unit + integration + manual)</t>
        </is>
      </c>
    </row>
    <row r="34">
      <c r="A34" s="101" t="inlineStr">
        <is>
          <t>Done</t>
        </is>
      </c>
      <c r="B34" s="97" t="inlineStr">
        <is>
          <t>Merged + tests green + verified</t>
        </is>
      </c>
    </row>
    <row r="35">
      <c r="A35" s="36" t="inlineStr">
        <is>
          <t>Blocked</t>
        </is>
      </c>
      <c r="B35" s="97" t="inlineStr">
        <is>
          <t>Waiting on external dependency or decision</t>
        </is>
      </c>
    </row>
    <row r="36">
      <c r="A36" s="36" t="inlineStr">
        <is>
          <t>Rolled Back</t>
        </is>
      </c>
      <c r="B36" s="97" t="inlineStr">
        <is>
          <t>Shipped, broke something, reverted (record, don't hide)</t>
        </is>
      </c>
    </row>
  </sheetData>
  <mergeCells count="10">
    <mergeCell ref="B31:E31"/>
    <mergeCell ref="A1:M1"/>
    <mergeCell ref="B35:E35"/>
    <mergeCell ref="B30:E30"/>
    <mergeCell ref="B29:E29"/>
    <mergeCell ref="B33:E33"/>
    <mergeCell ref="B34:E34"/>
    <mergeCell ref="A2:M2"/>
    <mergeCell ref="B36:E36"/>
    <mergeCell ref="B32:E3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54" t="inlineStr">
        <is>
          <t>[S1-01] Externalize the follow-up scheduler
(Scale/Ops)</t>
        </is>
      </c>
      <c r="C5" s="55" t="inlineStr">
        <is>
          <t>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54" t="inlineStr">
        <is>
          <t>[S1-02] Index phone, drop Python-side filter
(Scale/Ops)</t>
        </is>
      </c>
      <c r="C6" s="55" t="inlineStr">
        <is>
          <t>[S2-02] Complete TENANT_COLLECTIONS wipe
(Tenancy/Data)</t>
        </is>
      </c>
      <c r="D6" s="55" t="inlineStr">
        <is>
          <t>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54" t="inlineStr">
        <is>
          <t>[S1-03] Move all uploads to obj_store
(Scale/Ops)</t>
        </is>
      </c>
      <c r="C7" s="54" t="inlineStr">
        <is>
          <t>[S2-03] Tenant-scope OTP + WhatsApp phone routing
(Tenancy/Data)</t>
        </is>
      </c>
      <c r="D7" s="54" t="inlineStr">
        <is>
          <t>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54" t="inlineStr">
        <is>
          <t>[S1-04] Commit real deployment config
(Scale/Ops)</t>
        </is>
      </c>
      <c r="C8" s="55" t="inlineStr">
        <is>
          <t>[S2-04] Fix cross-tenant WhatsApp log leak
(Tenancy/Data)</t>
        </is>
      </c>
      <c r="D8" s="55" t="inlineStr">
        <is>
          <t>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55" t="inlineStr">
        <is>
          <t>[S1-05] Timeout + concurrency-limit LLM calls
(Scale/Ops)</t>
        </is>
      </c>
      <c r="C9" s="56" t="inlineStr">
        <is>
          <t>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54" t="inlineStr">
        <is>
          <t>[S1-06] Fix hardcoded purchase_payment key
(Scale/Ops)</t>
        </is>
      </c>
      <c r="C10" s="55" t="inlineStr">
        <is>
          <t>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55" t="inlineStr">
        <is>
          <t>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55" t="inlineStr">
        <is>
          <t>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56" t="inlineStr">
        <is>
          <t>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56" t="inlineStr">
        <is>
          <t>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55" t="inlineStr">
        <is>
          <t>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56" t="inlineStr">
        <is>
          <t>[S2-12] Fix 'active workflows' hardcoded terminal stages
(Tenancy/Data)</t>
        </is>
      </c>
    </row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96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96" t="inlineStr">
        <is>
          <t>Dev / CI</t>
        </is>
      </c>
      <c r="H13" s="96" t="inlineStr">
        <is>
          <t>Sprint 0-5 (continuous)</t>
        </is>
      </c>
      <c r="I13" s="37" t="inlineStr">
        <is>
          <t>Not Started</t>
        </is>
      </c>
      <c r="J13" s="96" t="inlineStr"/>
    </row>
    <row r="14" ht="58" customHeight="1">
      <c r="A14" s="64" t="inlineStr">
        <is>
          <t>A</t>
        </is>
      </c>
      <c r="B14" s="96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96" t="inlineStr">
        <is>
          <t>Dev / CI</t>
        </is>
      </c>
      <c r="H14" s="96" t="inlineStr">
        <is>
          <t>Sprint 0-3</t>
        </is>
      </c>
      <c r="I14" s="37" t="inlineStr">
        <is>
          <t>Not Started</t>
        </is>
      </c>
      <c r="J14" s="96" t="inlineStr"/>
    </row>
    <row r="15" ht="58" customHeight="1">
      <c r="A15" s="64" t="inlineStr">
        <is>
          <t>A</t>
        </is>
      </c>
      <c r="B15" s="96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96" t="inlineStr">
        <is>
          <t>CI</t>
        </is>
      </c>
      <c r="H15" s="96" t="inlineStr">
        <is>
          <t>Every sprint</t>
        </is>
      </c>
      <c r="I15" s="37" t="inlineStr">
        <is>
          <t>Not Started</t>
        </is>
      </c>
      <c r="J15" s="96" t="inlineStr"/>
    </row>
    <row r="16" ht="58" customHeight="1">
      <c r="A16" s="65" t="inlineStr">
        <is>
          <t>B</t>
        </is>
      </c>
      <c r="B16" s="96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96" t="inlineStr">
        <is>
          <t>Staging</t>
        </is>
      </c>
      <c r="H16" s="96" t="inlineStr">
        <is>
          <t>Sprint 2</t>
        </is>
      </c>
      <c r="I16" s="37" t="inlineStr">
        <is>
          <t>Not Started</t>
        </is>
      </c>
      <c r="J16" s="96" t="inlineStr"/>
    </row>
    <row r="17" ht="58" customHeight="1">
      <c r="A17" s="65" t="inlineStr">
        <is>
          <t>B</t>
        </is>
      </c>
      <c r="B17" s="96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96" t="inlineStr">
        <is>
          <t>Staging</t>
        </is>
      </c>
      <c r="H17" s="96" t="inlineStr">
        <is>
          <t>Sprint 1</t>
        </is>
      </c>
      <c r="I17" s="37" t="inlineStr">
        <is>
          <t>Not Started</t>
        </is>
      </c>
      <c r="J17" s="96" t="inlineStr"/>
    </row>
    <row r="18" ht="58" customHeight="1">
      <c r="A18" s="66" t="inlineStr">
        <is>
          <t>C</t>
        </is>
      </c>
      <c r="B18" s="96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96" t="inlineStr">
        <is>
          <t>Staging</t>
        </is>
      </c>
      <c r="H18" s="96" t="inlineStr">
        <is>
          <t>Sprint 0</t>
        </is>
      </c>
      <c r="I18" s="37" t="inlineStr">
        <is>
          <t>Not Started</t>
        </is>
      </c>
      <c r="J18" s="96" t="inlineStr"/>
    </row>
    <row r="19" ht="58" customHeight="1">
      <c r="A19" s="66" t="inlineStr">
        <is>
          <t>C</t>
        </is>
      </c>
      <c r="B19" s="96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96" t="inlineStr">
        <is>
          <t>Staging</t>
        </is>
      </c>
      <c r="H19" s="96" t="inlineStr">
        <is>
          <t>Sprint 0-2</t>
        </is>
      </c>
      <c r="I19" s="37" t="inlineStr">
        <is>
          <t>Not Started</t>
        </is>
      </c>
      <c r="J19" s="96" t="inlineStr"/>
    </row>
    <row r="20" ht="58" customHeight="1">
      <c r="A20" s="67" t="inlineStr">
        <is>
          <t>D</t>
        </is>
      </c>
      <c r="B20" s="96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96" t="inlineStr">
        <is>
          <t>Staging</t>
        </is>
      </c>
      <c r="H20" s="96" t="inlineStr">
        <is>
          <t>Sprint 5</t>
        </is>
      </c>
      <c r="I20" s="37" t="inlineStr">
        <is>
          <t>Not Started</t>
        </is>
      </c>
      <c r="J20" s="96" t="inlineStr"/>
    </row>
    <row r="21" ht="58" customHeight="1">
      <c r="A21" s="67" t="inlineStr">
        <is>
          <t>D</t>
        </is>
      </c>
      <c r="B21" s="96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96" t="inlineStr">
        <is>
          <t>Staging</t>
        </is>
      </c>
      <c r="H21" s="96" t="inlineStr">
        <is>
          <t>Sprint 5</t>
        </is>
      </c>
      <c r="I21" s="37" t="inlineStr">
        <is>
          <t>Not Started</t>
        </is>
      </c>
      <c r="J21" s="96" t="inlineStr"/>
    </row>
    <row r="22" ht="58" customHeight="1">
      <c r="A22" s="67" t="inlineStr">
        <is>
          <t>D</t>
        </is>
      </c>
      <c r="B22" s="96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96" t="inlineStr">
        <is>
          <t>Staging</t>
        </is>
      </c>
      <c r="H22" s="96" t="inlineStr">
        <is>
          <t>Sprint 5</t>
        </is>
      </c>
      <c r="I22" s="37" t="inlineStr">
        <is>
          <t>Not Started</t>
        </is>
      </c>
      <c r="J22" s="96" t="inlineStr"/>
    </row>
    <row r="23" ht="58" customHeight="1">
      <c r="A23" s="67" t="inlineStr">
        <is>
          <t>D</t>
        </is>
      </c>
      <c r="B23" s="96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96" t="inlineStr">
        <is>
          <t>Staging</t>
        </is>
      </c>
      <c r="H23" s="96" t="inlineStr">
        <is>
          <t>Sprint 5</t>
        </is>
      </c>
      <c r="I23" s="37" t="inlineStr">
        <is>
          <t>Not Started</t>
        </is>
      </c>
      <c r="J23" s="96" t="inlineStr"/>
    </row>
    <row r="24" ht="58" customHeight="1">
      <c r="A24" s="67" t="inlineStr">
        <is>
          <t>D</t>
        </is>
      </c>
      <c r="B24" s="96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96" t="inlineStr">
        <is>
          <t>Staging</t>
        </is>
      </c>
      <c r="H24" s="96" t="inlineStr">
        <is>
          <t>Sprint 1-2</t>
        </is>
      </c>
      <c r="I24" s="37" t="inlineStr">
        <is>
          <t>Not Started</t>
        </is>
      </c>
      <c r="J24" s="96" t="inlineStr"/>
    </row>
    <row r="25" ht="58" customHeight="1">
      <c r="A25" s="68" t="inlineStr">
        <is>
          <t>E</t>
        </is>
      </c>
      <c r="B25" s="96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96" t="inlineStr">
        <is>
          <t>Staging</t>
        </is>
      </c>
      <c r="H25" s="96" t="inlineStr">
        <is>
          <t>Sprint 1</t>
        </is>
      </c>
      <c r="I25" s="37" t="inlineStr">
        <is>
          <t>Not Started</t>
        </is>
      </c>
      <c r="J25" s="96" t="inlineStr"/>
    </row>
    <row r="26" ht="58" customHeight="1">
      <c r="A26" s="68" t="inlineStr">
        <is>
          <t>E</t>
        </is>
      </c>
      <c r="B26" s="96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96" t="inlineStr">
        <is>
          <t>Staging</t>
        </is>
      </c>
      <c r="H26" s="96" t="inlineStr">
        <is>
          <t>Sprint 5</t>
        </is>
      </c>
      <c r="I26" s="37" t="inlineStr">
        <is>
          <t>Not Started</t>
        </is>
      </c>
      <c r="J26" s="96" t="inlineStr"/>
    </row>
    <row r="27" ht="58" customHeight="1">
      <c r="A27" s="69" t="inlineStr">
        <is>
          <t>F</t>
        </is>
      </c>
      <c r="B27" s="96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96" t="inlineStr">
        <is>
          <t>Staging</t>
        </is>
      </c>
      <c r="H27" s="96" t="inlineStr">
        <is>
          <t>Sprint 5</t>
        </is>
      </c>
      <c r="I27" s="37" t="inlineStr">
        <is>
          <t>Not Started</t>
        </is>
      </c>
      <c r="J27" s="96" t="inlineStr"/>
    </row>
    <row r="28" ht="58" customHeight="1">
      <c r="A28" s="69" t="inlineStr">
        <is>
          <t>F</t>
        </is>
      </c>
      <c r="B28" s="96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96" t="inlineStr">
        <is>
          <t>Staging</t>
        </is>
      </c>
      <c r="H28" s="96" t="inlineStr">
        <is>
          <t>Sprint 5</t>
        </is>
      </c>
      <c r="I28" s="37" t="inlineStr">
        <is>
          <t>Not Started</t>
        </is>
      </c>
      <c r="J28" s="96" t="inlineStr"/>
    </row>
    <row r="29" ht="58" customHeight="1">
      <c r="A29" s="69" t="inlineStr">
        <is>
          <t>F</t>
        </is>
      </c>
      <c r="B29" s="96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96" t="inlineStr">
        <is>
          <t>Staging</t>
        </is>
      </c>
      <c r="H29" s="96" t="inlineStr">
        <is>
          <t>Sprint 2</t>
        </is>
      </c>
      <c r="I29" s="37" t="inlineStr">
        <is>
          <t>Not Started</t>
        </is>
      </c>
      <c r="J29" s="96" t="inlineStr"/>
    </row>
    <row r="30" ht="58" customHeight="1">
      <c r="A30" s="70" t="inlineStr">
        <is>
          <t>G</t>
        </is>
      </c>
      <c r="B30" s="96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96" t="inlineStr">
        <is>
          <t>Staging (alpha)</t>
        </is>
      </c>
      <c r="H30" s="96" t="inlineStr">
        <is>
          <t>After Sprint 1</t>
        </is>
      </c>
      <c r="I30" s="37" t="inlineStr">
        <is>
          <t>Not Started</t>
        </is>
      </c>
      <c r="J30" s="96" t="inlineStr"/>
    </row>
    <row r="31" ht="58" customHeight="1">
      <c r="A31" s="71" t="inlineStr">
        <is>
          <t>H</t>
        </is>
      </c>
      <c r="B31" s="96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96" t="inlineStr">
        <is>
          <t>Production (limited)</t>
        </is>
      </c>
      <c r="H31" s="96" t="inlineStr">
        <is>
          <t>After Sprint 3</t>
        </is>
      </c>
      <c r="I31" s="37" t="inlineStr">
        <is>
          <t>Not Started</t>
        </is>
      </c>
      <c r="J31" s="96" t="inlineStr"/>
    </row>
    <row r="32" ht="58" customHeight="1">
      <c r="A32" s="72" t="inlineStr">
        <is>
          <t>I</t>
        </is>
      </c>
      <c r="B32" s="96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96" t="inlineStr">
        <is>
          <t>Production</t>
        </is>
      </c>
      <c r="H32" s="96" t="inlineStr">
        <is>
          <t>Sprint 5</t>
        </is>
      </c>
      <c r="I32" s="37" t="inlineStr">
        <is>
          <t>Not Started</t>
        </is>
      </c>
      <c r="J32" s="96" t="inlineStr"/>
    </row>
    <row r="33" ht="58" customHeight="1">
      <c r="A33" s="73" t="inlineStr">
        <is>
          <t>J</t>
        </is>
      </c>
      <c r="B33" s="96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96" t="inlineStr">
        <is>
          <t>Production</t>
        </is>
      </c>
      <c r="H33" s="96" t="inlineStr">
        <is>
          <t>After Sprint 5</t>
        </is>
      </c>
      <c r="I33" s="37" t="inlineStr">
        <is>
          <t>Not Started</t>
        </is>
      </c>
      <c r="J33" s="96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</t>
        </is>
      </c>
      <c r="D7" s="88" t="inlineStr">
        <is>
          <t>FALSE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</t>
        </is>
      </c>
      <c r="D8" s="88" t="inlineStr">
        <is>
          <t>FALSE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</t>
        </is>
      </c>
      <c r="D9" s="88" t="inlineStr">
        <is>
          <t>FALSE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</t>
        </is>
      </c>
      <c r="D10" s="88" t="inlineStr">
        <is>
          <t>FALSE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</t>
        </is>
      </c>
      <c r="D11" s="88" t="inlineStr">
        <is>
          <t>FALSE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</t>
        </is>
      </c>
      <c r="D12" s="88" t="inlineStr">
        <is>
          <t>FALSE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</t>
        </is>
      </c>
      <c r="D13" s="88" t="inlineStr">
        <is>
          <t>FALSE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</t>
        </is>
      </c>
      <c r="D15" s="88" t="inlineStr">
        <is>
          <t>FALSE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</t>
        </is>
      </c>
      <c r="D16" s="88" t="inlineStr">
        <is>
          <t>FALSE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2026-08-04T14:03:48Z</dcterms:created>
  <dcterms:modified xsi:type="dcterms:W3CDTF">2026-08-09T03:56:50Z</dcterms:modified>
</cp:coreProperties>
</file>