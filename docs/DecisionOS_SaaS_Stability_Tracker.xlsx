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ask Backlog" sheetId="3" state="visible" r:id="rId3"/>
    <sheet xmlns:r="http://schemas.openxmlformats.org/officeDocument/2006/relationships" name="Fix Log" sheetId="4" state="visible" r:id="rId4"/>
    <sheet xmlns:r="http://schemas.openxmlformats.org/officeDocument/2006/relationships" name="Kanban Board" sheetId="5" state="visible" r:id="rId5"/>
    <sheet xmlns:r="http://schemas.openxmlformats.org/officeDocument/2006/relationships" name="Testing Plan" sheetId="6" state="visible" r:id="rId6"/>
    <sheet xmlns:r="http://schemas.openxmlformats.org/officeDocument/2006/relationships" name="Go-Live 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8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  <font>
      <name val="Arial"/>
      <color rgb="00555555"/>
      <sz val="9"/>
    </font>
    <font>
      <name val="Arial"/>
      <b val="1"/>
      <color rgb="00000000"/>
      <sz val="10"/>
    </font>
    <font/>
    <font>
      <b val="1"/>
      <color rgb="00006100"/>
    </font>
  </fonts>
  <fills count="23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  <fill>
      <patternFill patternType="solid">
        <fgColor rgb="00990000"/>
      </patternFill>
    </fill>
    <fill>
      <patternFill patternType="solid">
        <fgColor rgb="00666666"/>
      </patternFill>
    </fill>
    <fill>
      <patternFill patternType="solid">
        <fgColor rgb="000B5394"/>
      </patternFill>
    </fill>
    <fill>
      <patternFill patternType="solid">
        <fgColor rgb="00134F5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36" fillId="8" borderId="1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center" vertical="center"/>
    </xf>
    <xf numFmtId="0" fontId="37" fillId="12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center" vertical="center"/>
    </xf>
    <xf numFmtId="0" fontId="37" fillId="13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center" vertical="center"/>
    </xf>
    <xf numFmtId="0" fontId="37" fillId="16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/>
    </xf>
    <xf numFmtId="0" fontId="14" fillId="0" borderId="0" pivotButton="0" quotePrefix="0" xfId="0"/>
    <xf numFmtId="0" fontId="13" fillId="12" borderId="1" applyAlignment="1" pivotButton="0" quotePrefix="0" xfId="0">
      <alignment horizontal="center"/>
    </xf>
    <xf numFmtId="0" fontId="13" fillId="18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13" fillId="14" borderId="1" applyAlignment="1" pivotButton="0" quotePrefix="0" xfId="0">
      <alignment horizontal="center"/>
    </xf>
    <xf numFmtId="0" fontId="13" fillId="15" borderId="1" applyAlignment="1" pivotButton="0" quotePrefix="0" xfId="0">
      <alignment horizontal="center"/>
    </xf>
    <xf numFmtId="0" fontId="13" fillId="19" borderId="1" applyAlignment="1" pivotButton="0" quotePrefix="0" xfId="0">
      <alignment horizontal="center"/>
    </xf>
    <xf numFmtId="0" fontId="13" fillId="16" borderId="1" applyAlignment="1" pivotButton="0" quotePrefix="0" xfId="0">
      <alignment horizontal="center"/>
    </xf>
    <xf numFmtId="0" fontId="13" fillId="20" borderId="1" applyAlignment="1" pivotButton="0" quotePrefix="0" xfId="0">
      <alignment horizontal="center"/>
    </xf>
    <xf numFmtId="0" fontId="13" fillId="21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8" fillId="0" borderId="1" pivotButton="0" quotePrefix="0" xfId="0"/>
    <xf numFmtId="0" fontId="39" fillId="0" borderId="1" applyAlignment="1" pivotButton="0" quotePrefix="0" xfId="0">
      <alignment horizontal="center"/>
    </xf>
    <xf numFmtId="0" fontId="40" fillId="0" borderId="1" pivotButton="0" quotePrefix="0" xfId="0"/>
    <xf numFmtId="0" fontId="41" fillId="0" borderId="1" pivotButton="0" quotePrefix="0" xfId="0"/>
    <xf numFmtId="0" fontId="42" fillId="0" borderId="1" pivotButton="0" quotePrefix="0" xfId="0"/>
    <xf numFmtId="0" fontId="43" fillId="0" borderId="1" pivotButton="0" quotePrefix="0" xfId="0"/>
    <xf numFmtId="0" fontId="44" fillId="0" borderId="1" pivotButton="0" quotePrefix="0" xfId="0"/>
    <xf numFmtId="0" fontId="4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22" fillId="5" borderId="1" applyAlignment="1" pivotButton="0" quotePrefix="0" xfId="0">
      <alignment horizontal="center"/>
    </xf>
    <xf numFmtId="0" fontId="17" fillId="6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0" fillId="7" borderId="1" applyAlignment="1" pivotButton="0" quotePrefix="0" xfId="0">
      <alignment horizont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47" fillId="22" borderId="1" applyAlignment="1" pivotButton="0" quotePrefix="0" xfId="0">
      <alignment horizontal="center"/>
    </xf>
    <xf numFmtId="0" fontId="47" fillId="22" borderId="1" applyAlignment="1" pivotButton="0" quotePrefix="0" xfId="0">
      <alignment vertical="top" wrapText="1"/>
    </xf>
    <xf numFmtId="0" fontId="47" fillId="22" borderId="0" pivotButton="0" quotePrefix="0" xfId="0"/>
    <xf numFmtId="0" fontId="46" fillId="0" borderId="0" pivotButton="0" quotePrefix="0" xfId="0"/>
    <xf numFmtId="0" fontId="47" fillId="22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9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  <dxf>
      <font>
        <name val="Arial"/>
        <b val="1"/>
        <color rgb="00351C75"/>
        <sz val="9"/>
      </font>
      <fill>
        <patternFill patternType="solid">
          <fgColor rgb="00E4D7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 AND the Testing Plan: task counts, % complete, open P0s, and the overall go-live gate status. All formulas — edit Status on Task Backlog / Testing Plan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 for engineering work. One row per fix.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Testing Plan — every test type required before going live (automated, multi-tenant isolation, security, load/performance, resilience, migration/backup) PLUS the Alpha -&gt; Closed Beta -&gt; Staged Beta -&gt; GA rollout milestones with entry/exit criteria for each stage.</t>
        </is>
      </c>
    </row>
    <row r="10" ht="30" customHeight="1">
      <c r="A10" s="5" t="inlineStr">
        <is>
          <t>•</t>
        </is>
      </c>
      <c r="B10" s="6" t="inlineStr">
        <is>
          <t>Go-Live Checklist — the final gate. Every row must be checked TRUE before opening self-serve signup or onboarding client #1 at scale — includes a line item confirming every Testing Plan phase passed.</t>
        </is>
      </c>
    </row>
    <row r="12">
      <c r="A12" s="4" t="inlineStr">
        <is>
          <t>Legend — Priority</t>
        </is>
      </c>
    </row>
    <row r="13">
      <c r="A13" s="7" t="inlineStr">
        <is>
          <t>P0</t>
        </is>
      </c>
      <c r="B13" s="8" t="inlineStr">
        <is>
          <t>Ship-blocker — must close before the next tenant / go-live gate it sits in</t>
        </is>
      </c>
    </row>
    <row r="14">
      <c r="A14" s="9" t="inlineStr">
        <is>
          <t>P1</t>
        </is>
      </c>
      <c r="B14" s="8" t="inlineStr">
        <is>
          <t>Fix before selling to a real customer — not an immediate blocker but close soon</t>
        </is>
      </c>
    </row>
    <row r="15">
      <c r="A15" s="10" t="inlineStr">
        <is>
          <t>P2</t>
        </is>
      </c>
      <c r="B15" s="8" t="inlineStr">
        <is>
          <t>Quality/hardening — schedule once P0/P1 are clear</t>
        </is>
      </c>
    </row>
    <row r="17">
      <c r="A17" s="4" t="inlineStr">
        <is>
          <t>Legend — Status</t>
        </is>
      </c>
    </row>
    <row r="18">
      <c r="A18" s="11" t="inlineStr">
        <is>
          <t>Backlog</t>
        </is>
      </c>
    </row>
    <row r="19">
      <c r="A19" s="12" t="inlineStr">
        <is>
          <t>To Do</t>
        </is>
      </c>
    </row>
    <row r="20">
      <c r="A20" s="13" t="inlineStr">
        <is>
          <t>In Progress</t>
        </is>
      </c>
    </row>
    <row r="21">
      <c r="A21" s="7" t="inlineStr">
        <is>
          <t>Blocked</t>
        </is>
      </c>
    </row>
    <row r="22">
      <c r="A22" s="9" t="inlineStr">
        <is>
          <t>In Review</t>
        </is>
      </c>
    </row>
    <row r="23">
      <c r="A23" s="14" t="inlineStr">
        <is>
          <t>Done</t>
        </is>
      </c>
    </row>
    <row r="25">
      <c r="A25" s="4" t="inlineStr">
        <is>
          <t>Cells to edit</t>
        </is>
      </c>
    </row>
    <row r="26" ht="45" customHeight="1">
      <c r="A26" s="6" t="inlineStr">
        <is>
          <t>On Task Backlog: Status, Owner, Start Date, Due Date, and Notes are yours to fill in / update. On Testing Plan: Status and Owner are yours to update. On Go-Live Checklist: set Done? to TRUE only once verified. All editable columns are shown with a gold header fill. Everything else documents the finding and should not need editing.</t>
        </is>
      </c>
    </row>
  </sheetData>
  <mergeCells count="3">
    <mergeCell ref="A26:B26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5">
      <c r="B5" s="16" t="inlineStr">
        <is>
          <t>Total tasks</t>
        </is>
      </c>
      <c r="C5" s="17">
        <f>COUNTA('Task Backlog'!A2:A54)</f>
        <v/>
      </c>
    </row>
    <row r="6">
      <c r="B6" s="16" t="inlineStr">
        <is>
          <t>Done</t>
        </is>
      </c>
      <c r="C6" s="17">
        <f>COUNTIF('Task Backlog'!J2:J54,"Done")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Backlog'!F2:F54,"P0",'Task Backlog'!J2:J54,"&lt;&gt;Done")</f>
        <v/>
      </c>
    </row>
    <row r="9">
      <c r="B9" s="16" t="inlineStr">
        <is>
          <t>Go-Live blockers still open</t>
        </is>
      </c>
      <c r="C9" s="17">
        <f>COUNTIFS('Task Backlog'!N2:N54,"Yes",'Task Backlog'!J2:J54,"&lt;&gt;Done")</f>
        <v/>
      </c>
    </row>
    <row r="10">
      <c r="B10" s="16" t="inlineStr">
        <is>
          <t>Testing Plan phases not yet Passed</t>
        </is>
      </c>
      <c r="C10" s="17">
        <f>COUNTIF('Testing Plan'!I13:I33,"&lt;&gt;Passed")</f>
        <v/>
      </c>
    </row>
    <row r="12">
      <c r="B12" s="4" t="inlineStr">
        <is>
          <t>READY FOR 100-CLIENT SaaS?</t>
        </is>
      </c>
      <c r="C12" s="19">
        <f>IF(AND(C9=0,C10=0),"READY — all go-live blockers closed and every testing phase passed","NOT READY — "&amp;C9&amp;" blocker(s) open, "&amp;C10&amp;" testing phase(s) not yet Passed")</f>
        <v/>
      </c>
    </row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Backlog'!B2:B54,"Sprint 0")</f>
        <v/>
      </c>
      <c r="F15" s="24">
        <f>COUNTIFS('Task Backlog'!B2:B54,"Sprint 0",'Task Backlog'!J2:J54,"Done")</f>
        <v/>
      </c>
      <c r="G15" s="25">
        <f>IFERROR(F15/E15,0)</f>
        <v/>
      </c>
      <c r="H15" s="24">
        <f>COUNTIFS('Task Backlog'!B2:B54,"Sprint 0",'Task Backlog'!F2:F54,"P0",'Task Backlog'!J2:J54,"&lt;&gt;Done")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Backlog'!B2:B54,"Sprint 1")</f>
        <v/>
      </c>
      <c r="F16" s="24">
        <f>COUNTIFS('Task Backlog'!B2:B54,"Sprint 1",'Task Backlog'!J2:J54,"Done")</f>
        <v/>
      </c>
      <c r="G16" s="25">
        <f>IFERROR(F16/E16,0)</f>
        <v/>
      </c>
      <c r="H16" s="24">
        <f>COUNTIFS('Task Backlog'!B2:B54,"Sprint 1",'Task Backlog'!F2:F54,"P0",'Task Backlog'!J2:J54,"&lt;&gt;Done")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Backlog'!B2:B54,"Sprint 2")</f>
        <v/>
      </c>
      <c r="F17" s="24">
        <f>COUNTIFS('Task Backlog'!B2:B54,"Sprint 2",'Task Backlog'!J2:J54,"Done")</f>
        <v/>
      </c>
      <c r="G17" s="25">
        <f>IFERROR(F17/E17,0)</f>
        <v/>
      </c>
      <c r="H17" s="24">
        <f>COUNTIFS('Task Backlog'!B2:B54,"Sprint 2",'Task Backlog'!F2:F54,"P0",'Task Backlog'!J2:J54,"&lt;&gt;Done")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Backlog'!B2:B54,"Sprint 3")</f>
        <v/>
      </c>
      <c r="F18" s="24">
        <f>COUNTIFS('Task Backlog'!B2:B54,"Sprint 3",'Task Backlog'!J2:J54,"Done")</f>
        <v/>
      </c>
      <c r="G18" s="25">
        <f>IFERROR(F18/E18,0)</f>
        <v/>
      </c>
      <c r="H18" s="24">
        <f>COUNTIFS('Task Backlog'!B2:B54,"Sprint 3",'Task Backlog'!F2:F54,"P0",'Task Backlog'!J2:J54,"&lt;&gt;Done")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Backlog'!B2:B54,"Sprint 4")</f>
        <v/>
      </c>
      <c r="F19" s="24">
        <f>COUNTIFS('Task Backlog'!B2:B54,"Sprint 4",'Task Backlog'!J2:J54,"Done")</f>
        <v/>
      </c>
      <c r="G19" s="25">
        <f>IFERROR(F19/E19,0)</f>
        <v/>
      </c>
      <c r="H19" s="24">
        <f>COUNTIFS('Task Backlog'!B2:B54,"Sprint 4",'Task Backlog'!F2:F54,"P0",'Task Backlog'!J2:J54,"&lt;&gt;Done")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Backlog'!B2:B54,"Sprint 5")</f>
        <v/>
      </c>
      <c r="F20" s="24">
        <f>COUNTIFS('Task Backlog'!B2:B54,"Sprint 5",'Task Backlog'!J2:J54,"Done")</f>
        <v/>
      </c>
      <c r="G20" s="25">
        <f>IFERROR(F20/E20,0)</f>
        <v/>
      </c>
      <c r="H20" s="24">
        <f>COUNTIFS('Task Backlog'!B2:B54,"Sprint 5",'Task Backlog'!F2:F54,"P0",'Task Backlog'!J2:J54,"&lt;&gt;Done")</f>
        <v/>
      </c>
    </row>
  </sheetData>
  <mergeCells count="2">
    <mergeCell ref="C12:H12"/>
    <mergeCell ref="B3:H3"/>
  </mergeCells>
  <conditionalFormatting sqref="C12">
    <cfRule type="expression" priority="1" dxfId="0">
      <formula>AND($C$9=0,$C$10=0)</formula>
    </cfRule>
    <cfRule type="expression" priority="2" dxfId="1">
      <formula>OR($C$9&gt;0,$C$10&gt;0)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103" t="inlineStr">
        <is>
          <t>S0-01</t>
        </is>
      </c>
      <c r="B2" s="35" t="inlineStr">
        <is>
          <t>Sprint 0</t>
        </is>
      </c>
      <c r="C2" s="103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103" t="inlineStr">
        <is>
          <t>SaaS Readiness Review</t>
        </is>
      </c>
      <c r="H2" s="103" t="inlineStr">
        <is>
          <t>server.py:4925-4937</t>
        </is>
      </c>
      <c r="I2" s="103" t="inlineStr">
        <is>
          <t>S</t>
        </is>
      </c>
      <c r="J2" s="37" t="inlineStr">
        <is>
          <t>Backlog</t>
        </is>
      </c>
      <c r="K2" s="103" t="inlineStr"/>
      <c r="L2" s="103" t="inlineStr"/>
      <c r="M2" s="103" t="inlineStr"/>
      <c r="N2" s="23" t="inlineStr">
        <is>
          <t>Yes</t>
        </is>
      </c>
      <c r="O2" s="22" t="inlineStr"/>
    </row>
    <row r="3" ht="32" customHeight="1">
      <c r="A3" s="103" t="inlineStr">
        <is>
          <t>S0-02</t>
        </is>
      </c>
      <c r="B3" s="35" t="inlineStr">
        <is>
          <t>Sprint 0</t>
        </is>
      </c>
      <c r="C3" s="103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103" t="inlineStr">
        <is>
          <t>SaaS Readiness Review</t>
        </is>
      </c>
      <c r="H3" s="103" t="inlineStr">
        <is>
          <t>server.py:4994-5001, core.py:218-222</t>
        </is>
      </c>
      <c r="I3" s="103" t="inlineStr">
        <is>
          <t>M</t>
        </is>
      </c>
      <c r="J3" s="37" t="inlineStr">
        <is>
          <t>Backlog</t>
        </is>
      </c>
      <c r="K3" s="103" t="inlineStr"/>
      <c r="L3" s="103" t="inlineStr"/>
      <c r="M3" s="103" t="inlineStr"/>
      <c r="N3" s="23" t="inlineStr">
        <is>
          <t>Yes</t>
        </is>
      </c>
      <c r="O3" s="22" t="inlineStr"/>
    </row>
    <row r="4" ht="32" customHeight="1">
      <c r="A4" s="103" t="inlineStr">
        <is>
          <t>S0-03</t>
        </is>
      </c>
      <c r="B4" s="35" t="inlineStr">
        <is>
          <t>Sprint 0</t>
        </is>
      </c>
      <c r="C4" s="103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103" t="inlineStr">
        <is>
          <t>SaaS Readiness Review</t>
        </is>
      </c>
      <c r="H4" s="103" t="inlineStr">
        <is>
          <t>server.py:3032-3038</t>
        </is>
      </c>
      <c r="I4" s="103" t="inlineStr">
        <is>
          <t>S</t>
        </is>
      </c>
      <c r="J4" s="37" t="inlineStr">
        <is>
          <t>Backlog</t>
        </is>
      </c>
      <c r="K4" s="103" t="inlineStr"/>
      <c r="L4" s="103" t="inlineStr"/>
      <c r="M4" s="103" t="inlineStr"/>
      <c r="N4" s="23" t="inlineStr">
        <is>
          <t>Yes</t>
        </is>
      </c>
      <c r="O4" s="22" t="inlineStr"/>
    </row>
    <row r="5" ht="32" customHeight="1">
      <c r="A5" s="103" t="inlineStr">
        <is>
          <t>S0-04</t>
        </is>
      </c>
      <c r="B5" s="35" t="inlineStr">
        <is>
          <t>Sprint 0</t>
        </is>
      </c>
      <c r="C5" s="103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103" t="inlineStr">
        <is>
          <t>SaaS Readiness Review</t>
        </is>
      </c>
      <c r="H5" s="103" t="inlineStr">
        <is>
          <t>server.py:1345-1347</t>
        </is>
      </c>
      <c r="I5" s="103" t="inlineStr">
        <is>
          <t>S</t>
        </is>
      </c>
      <c r="J5" s="37" t="inlineStr">
        <is>
          <t>Backlog</t>
        </is>
      </c>
      <c r="K5" s="103" t="inlineStr"/>
      <c r="L5" s="103" t="inlineStr"/>
      <c r="M5" s="103" t="inlineStr"/>
      <c r="N5" s="23" t="inlineStr">
        <is>
          <t>Yes</t>
        </is>
      </c>
      <c r="O5" s="22" t="inlineStr"/>
    </row>
    <row r="6" ht="32" customHeight="1">
      <c r="A6" s="103" t="inlineStr">
        <is>
          <t>S0-05</t>
        </is>
      </c>
      <c r="B6" s="35" t="inlineStr">
        <is>
          <t>Sprint 0</t>
        </is>
      </c>
      <c r="C6" s="103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103" t="inlineStr">
        <is>
          <t>SaaS Readiness Review</t>
        </is>
      </c>
      <c r="H6" s="103" t="inlineStr">
        <is>
          <t>server.py:3919-3933</t>
        </is>
      </c>
      <c r="I6" s="103" t="inlineStr">
        <is>
          <t>S</t>
        </is>
      </c>
      <c r="J6" s="37" t="inlineStr">
        <is>
          <t>Backlog</t>
        </is>
      </c>
      <c r="K6" s="103" t="inlineStr"/>
      <c r="L6" s="103" t="inlineStr"/>
      <c r="M6" s="103" t="inlineStr"/>
      <c r="N6" s="23" t="inlineStr">
        <is>
          <t>Yes</t>
        </is>
      </c>
      <c r="O6" s="22" t="inlineStr"/>
    </row>
    <row r="7" ht="32" customHeight="1">
      <c r="A7" s="103" t="inlineStr">
        <is>
          <t>S0-06</t>
        </is>
      </c>
      <c r="B7" s="35" t="inlineStr">
        <is>
          <t>Sprint 0</t>
        </is>
      </c>
      <c r="C7" s="103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103" t="inlineStr">
        <is>
          <t>SaaS Readiness Review</t>
        </is>
      </c>
      <c r="H7" s="103" t="inlineStr">
        <is>
          <t>routers/signup.py, routers/onboarding.py:39,73</t>
        </is>
      </c>
      <c r="I7" s="103" t="inlineStr">
        <is>
          <t>M</t>
        </is>
      </c>
      <c r="J7" s="37" t="inlineStr">
        <is>
          <t>Backlog</t>
        </is>
      </c>
      <c r="K7" s="103" t="inlineStr"/>
      <c r="L7" s="103" t="inlineStr"/>
      <c r="M7" s="103" t="inlineStr"/>
      <c r="N7" s="23" t="inlineStr">
        <is>
          <t>Yes</t>
        </is>
      </c>
      <c r="O7" s="22" t="inlineStr"/>
    </row>
    <row r="8" ht="32" customHeight="1">
      <c r="A8" s="103" t="inlineStr">
        <is>
          <t>S0-07</t>
        </is>
      </c>
      <c r="B8" s="35" t="inlineStr">
        <is>
          <t>Sprint 0</t>
        </is>
      </c>
      <c r="C8" s="103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103" t="inlineStr">
        <is>
          <t>SaaS Readiness Review</t>
        </is>
      </c>
      <c r="H8" s="103" t="inlineStr">
        <is>
          <t>routers/auth.py:151-162</t>
        </is>
      </c>
      <c r="I8" s="103" t="inlineStr">
        <is>
          <t>S</t>
        </is>
      </c>
      <c r="J8" s="37" t="inlineStr">
        <is>
          <t>Backlog</t>
        </is>
      </c>
      <c r="K8" s="103" t="inlineStr"/>
      <c r="L8" s="103" t="inlineStr"/>
      <c r="M8" s="103" t="inlineStr"/>
      <c r="N8" s="23" t="inlineStr">
        <is>
          <t>Yes</t>
        </is>
      </c>
      <c r="O8" s="22" t="inlineStr"/>
    </row>
    <row r="9" ht="32" customHeight="1">
      <c r="A9" s="103" t="inlineStr">
        <is>
          <t>S0-08</t>
        </is>
      </c>
      <c r="B9" s="35" t="inlineStr">
        <is>
          <t>Sprint 0</t>
        </is>
      </c>
      <c r="C9" s="103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103" t="inlineStr">
        <is>
          <t>SaaS Readiness Review</t>
        </is>
      </c>
      <c r="H9" s="103" t="inlineStr">
        <is>
          <t>routers/auth.py:148,162</t>
        </is>
      </c>
      <c r="I9" s="103" t="inlineStr">
        <is>
          <t>S</t>
        </is>
      </c>
      <c r="J9" s="37" t="inlineStr">
        <is>
          <t>Backlog</t>
        </is>
      </c>
      <c r="K9" s="103" t="inlineStr"/>
      <c r="L9" s="103" t="inlineStr"/>
      <c r="M9" s="103" t="inlineStr"/>
      <c r="N9" s="23" t="inlineStr">
        <is>
          <t>Yes</t>
        </is>
      </c>
      <c r="O9" s="22" t="inlineStr"/>
    </row>
    <row r="10" ht="32" customHeight="1">
      <c r="A10" s="103" t="inlineStr">
        <is>
          <t>S0-09</t>
        </is>
      </c>
      <c r="B10" s="35" t="inlineStr">
        <is>
          <t>Sprint 0</t>
        </is>
      </c>
      <c r="C10" s="103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103" t="inlineStr">
        <is>
          <t>SaaS Readiness Review</t>
        </is>
      </c>
      <c r="H10" s="103" t="inlineStr">
        <is>
          <t>core.py:237,297</t>
        </is>
      </c>
      <c r="I10" s="103" t="inlineStr">
        <is>
          <t>S</t>
        </is>
      </c>
      <c r="J10" s="37" t="inlineStr">
        <is>
          <t>Backlog</t>
        </is>
      </c>
      <c r="K10" s="103" t="inlineStr"/>
      <c r="L10" s="103" t="inlineStr"/>
      <c r="M10" s="103" t="inlineStr"/>
      <c r="N10" s="23" t="inlineStr">
        <is>
          <t>Yes</t>
        </is>
      </c>
      <c r="O10" s="22" t="inlineStr"/>
    </row>
    <row r="11" ht="32" customHeight="1">
      <c r="A11" s="103" t="inlineStr">
        <is>
          <t>S0-10</t>
        </is>
      </c>
      <c r="B11" s="35" t="inlineStr">
        <is>
          <t>Sprint 0</t>
        </is>
      </c>
      <c r="C11" s="103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103" t="inlineStr">
        <is>
          <t>SaaS Readiness Review</t>
        </is>
      </c>
      <c r="H11" s="103" t="inlineStr">
        <is>
          <t>server.py:1372,1386,1396,1397</t>
        </is>
      </c>
      <c r="I11" s="103" t="inlineStr">
        <is>
          <t>S</t>
        </is>
      </c>
      <c r="J11" s="37" t="inlineStr">
        <is>
          <t>Backlog</t>
        </is>
      </c>
      <c r="K11" s="103" t="inlineStr"/>
      <c r="L11" s="103" t="inlineStr"/>
      <c r="M11" s="103" t="inlineStr"/>
      <c r="N11" s="23" t="inlineStr">
        <is>
          <t>Yes</t>
        </is>
      </c>
      <c r="O11" s="22" t="inlineStr"/>
    </row>
    <row r="12" ht="32" customHeight="1">
      <c r="A12" s="103" t="inlineStr">
        <is>
          <t>S1-01</t>
        </is>
      </c>
      <c r="B12" s="39" t="inlineStr">
        <is>
          <t>Sprint 1</t>
        </is>
      </c>
      <c r="C12" s="103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103" t="inlineStr">
        <is>
          <t>Schema/Scale/Go-Live Review</t>
        </is>
      </c>
      <c r="H12" s="103" t="inlineStr">
        <is>
          <t>server.py:2765, 4946</t>
        </is>
      </c>
      <c r="I12" s="103" t="inlineStr">
        <is>
          <t>M</t>
        </is>
      </c>
      <c r="J12" s="37" t="inlineStr">
        <is>
          <t>Backlog</t>
        </is>
      </c>
      <c r="K12" s="103" t="inlineStr"/>
      <c r="L12" s="103" t="inlineStr"/>
      <c r="M12" s="103" t="inlineStr"/>
      <c r="N12" s="23" t="inlineStr">
        <is>
          <t>Yes</t>
        </is>
      </c>
      <c r="O12" s="22" t="inlineStr"/>
    </row>
    <row r="13" ht="32" customHeight="1">
      <c r="A13" s="103" t="inlineStr">
        <is>
          <t>S1-02</t>
        </is>
      </c>
      <c r="B13" s="39" t="inlineStr">
        <is>
          <t>Sprint 1</t>
        </is>
      </c>
      <c r="C13" s="103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103" t="inlineStr">
        <is>
          <t>Schema/Scale/Go-Live Review</t>
        </is>
      </c>
      <c r="H13" s="103" t="inlineStr">
        <is>
          <t>server.py:1357,1419,4004</t>
        </is>
      </c>
      <c r="I13" s="103" t="inlineStr">
        <is>
          <t>S</t>
        </is>
      </c>
      <c r="J13" s="37" t="inlineStr">
        <is>
          <t>Backlog</t>
        </is>
      </c>
      <c r="K13" s="103" t="inlineStr"/>
      <c r="L13" s="103" t="inlineStr"/>
      <c r="M13" s="103" t="inlineStr"/>
      <c r="N13" s="23" t="inlineStr">
        <is>
          <t>Yes</t>
        </is>
      </c>
      <c r="O13" s="22" t="inlineStr"/>
    </row>
    <row r="14" ht="32" customHeight="1">
      <c r="A14" s="103" t="inlineStr">
        <is>
          <t>S1-03</t>
        </is>
      </c>
      <c r="B14" s="39" t="inlineStr">
        <is>
          <t>Sprint 1</t>
        </is>
      </c>
      <c r="C14" s="103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103" t="inlineStr">
        <is>
          <t>Schema/Scale/Go-Live Review</t>
        </is>
      </c>
      <c r="H14" s="103" t="inlineStr">
        <is>
          <t>server.py:1739,1902,3032; ledger.py:146</t>
        </is>
      </c>
      <c r="I14" s="103" t="inlineStr">
        <is>
          <t>M</t>
        </is>
      </c>
      <c r="J14" s="37" t="inlineStr">
        <is>
          <t>Backlog</t>
        </is>
      </c>
      <c r="K14" s="103" t="inlineStr"/>
      <c r="L14" s="103" t="inlineStr"/>
      <c r="M14" s="103" t="inlineStr"/>
      <c r="N14" s="23" t="inlineStr">
        <is>
          <t>Yes</t>
        </is>
      </c>
      <c r="O14" s="22" t="inlineStr"/>
    </row>
    <row r="15" ht="32" customHeight="1">
      <c r="A15" s="103" t="inlineStr">
        <is>
          <t>S1-04</t>
        </is>
      </c>
      <c r="B15" s="39" t="inlineStr">
        <is>
          <t>Sprint 1</t>
        </is>
      </c>
      <c r="C15" s="103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103" t="inlineStr">
        <is>
          <t>Schema/Scale/Go-Live Review</t>
        </is>
      </c>
      <c r="H15" s="103" t="inlineStr">
        <is>
          <t>(missing — new file)</t>
        </is>
      </c>
      <c r="I15" s="103" t="inlineStr">
        <is>
          <t>M</t>
        </is>
      </c>
      <c r="J15" s="104" t="inlineStr">
        <is>
          <t>Done</t>
        </is>
      </c>
      <c r="K15" s="103" t="inlineStr"/>
      <c r="L15" s="103" t="inlineStr">
        <is>
          <t>2026-08-09</t>
        </is>
      </c>
      <c r="M15" s="103" t="inlineStr">
        <is>
          <t>2026-08-09</t>
        </is>
      </c>
      <c r="N15" s="23" t="inlineStr">
        <is>
          <t>Yes</t>
        </is>
      </c>
      <c r="O15" s="22" t="inlineStr"/>
    </row>
    <row r="16" ht="32" customHeight="1">
      <c r="A16" s="103" t="inlineStr">
        <is>
          <t>S1-05</t>
        </is>
      </c>
      <c r="B16" s="39" t="inlineStr">
        <is>
          <t>Sprint 1</t>
        </is>
      </c>
      <c r="C16" s="103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103" t="inlineStr">
        <is>
          <t>Schema/Scale/Go-Live Review</t>
        </is>
      </c>
      <c r="H16" s="103" t="inlineStr">
        <is>
          <t>core.py:177</t>
        </is>
      </c>
      <c r="I16" s="103" t="inlineStr">
        <is>
          <t>M</t>
        </is>
      </c>
      <c r="J16" s="37" t="inlineStr">
        <is>
          <t>Backlog</t>
        </is>
      </c>
      <c r="K16" s="103" t="inlineStr"/>
      <c r="L16" s="103" t="inlineStr"/>
      <c r="M16" s="103" t="inlineStr"/>
      <c r="N16" s="23" t="inlineStr">
        <is>
          <t>Yes</t>
        </is>
      </c>
      <c r="O16" s="22" t="inlineStr"/>
    </row>
    <row r="17" ht="32" customHeight="1">
      <c r="A17" s="103" t="inlineStr">
        <is>
          <t>S1-06</t>
        </is>
      </c>
      <c r="B17" s="39" t="inlineStr">
        <is>
          <t>Sprint 1</t>
        </is>
      </c>
      <c r="C17" s="103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103" t="inlineStr">
        <is>
          <t>Schema/Scale/Go-Live Review</t>
        </is>
      </c>
      <c r="H17" s="103" t="inlineStr">
        <is>
          <t>routers/decisions.py:166; server.py:2429; routers/brief.py:95,98,238,262</t>
        </is>
      </c>
      <c r="I17" s="103" t="inlineStr">
        <is>
          <t>M</t>
        </is>
      </c>
      <c r="J17" s="37" t="inlineStr">
        <is>
          <t>Backlog</t>
        </is>
      </c>
      <c r="K17" s="103" t="inlineStr"/>
      <c r="L17" s="103" t="inlineStr"/>
      <c r="M17" s="103" t="inlineStr"/>
      <c r="N17" s="23" t="inlineStr">
        <is>
          <t>Yes</t>
        </is>
      </c>
      <c r="O17" s="22" t="inlineStr"/>
    </row>
    <row r="18" ht="32" customHeight="1">
      <c r="A18" s="103" t="inlineStr">
        <is>
          <t>S2-01</t>
        </is>
      </c>
      <c r="B18" s="40" t="inlineStr">
        <is>
          <t>Sprint 2</t>
        </is>
      </c>
      <c r="C18" s="103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103" t="inlineStr">
        <is>
          <t>SaaS Readiness Review</t>
        </is>
      </c>
      <c r="H18" s="103" t="inlineStr">
        <is>
          <t>routers/tasks.py:317,360,395; decisions.py:144-227; brain_docs.py:320,329; ledger.py:585,638,684</t>
        </is>
      </c>
      <c r="I18" s="103" t="inlineStr">
        <is>
          <t>M</t>
        </is>
      </c>
      <c r="J18" s="37" t="inlineStr">
        <is>
          <t>Backlog</t>
        </is>
      </c>
      <c r="K18" s="103" t="inlineStr"/>
      <c r="L18" s="103" t="inlineStr"/>
      <c r="M18" s="103" t="inlineStr"/>
      <c r="N18" s="41" t="inlineStr">
        <is>
          <t>No</t>
        </is>
      </c>
      <c r="O18" s="22" t="inlineStr"/>
    </row>
    <row r="19" ht="32" customHeight="1">
      <c r="A19" s="103" t="inlineStr">
        <is>
          <t>S2-02</t>
        </is>
      </c>
      <c r="B19" s="40" t="inlineStr">
        <is>
          <t>Sprint 2</t>
        </is>
      </c>
      <c r="C19" s="103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103" t="inlineStr">
        <is>
          <t>SaaS Readiness Review</t>
        </is>
      </c>
      <c r="H19" s="103" t="inlineStr">
        <is>
          <t>routers/admin.py:161-186</t>
        </is>
      </c>
      <c r="I19" s="103" t="inlineStr">
        <is>
          <t>S</t>
        </is>
      </c>
      <c r="J19" s="37" t="inlineStr">
        <is>
          <t>Backlog</t>
        </is>
      </c>
      <c r="K19" s="103" t="inlineStr"/>
      <c r="L19" s="103" t="inlineStr"/>
      <c r="M19" s="103" t="inlineStr"/>
      <c r="N19" s="41" t="inlineStr">
        <is>
          <t>No</t>
        </is>
      </c>
      <c r="O19" s="22" t="inlineStr"/>
    </row>
    <row r="20" ht="32" customHeight="1">
      <c r="A20" s="103" t="inlineStr">
        <is>
          <t>S2-03</t>
        </is>
      </c>
      <c r="B20" s="40" t="inlineStr">
        <is>
          <t>Sprint 2</t>
        </is>
      </c>
      <c r="C20" s="103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103" t="inlineStr">
        <is>
          <t>Schema/Scale/Go-Live Review</t>
        </is>
      </c>
      <c r="H20" s="103" t="inlineStr">
        <is>
          <t>server.py:1418-1428,1357; 3999-4028</t>
        </is>
      </c>
      <c r="I20" s="103" t="inlineStr">
        <is>
          <t>M</t>
        </is>
      </c>
      <c r="J20" s="104" t="inlineStr">
        <is>
          <t>Done</t>
        </is>
      </c>
      <c r="K20" s="103" t="inlineStr"/>
      <c r="L20" s="103" t="inlineStr">
        <is>
          <t>2026-08-09</t>
        </is>
      </c>
      <c r="M20" s="103" t="inlineStr">
        <is>
          <t>2026-08-09</t>
        </is>
      </c>
      <c r="N20" s="23" t="inlineStr">
        <is>
          <t>Yes</t>
        </is>
      </c>
      <c r="O20" s="22" t="inlineStr">
        <is>
          <t>Shipped in FIX-003-A (6a1ecec).</t>
        </is>
      </c>
    </row>
    <row r="21" ht="32" customHeight="1">
      <c r="A21" s="103" t="inlineStr">
        <is>
          <t>S2-04</t>
        </is>
      </c>
      <c r="B21" s="40" t="inlineStr">
        <is>
          <t>Sprint 2</t>
        </is>
      </c>
      <c r="C21" s="103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103" t="inlineStr">
        <is>
          <t>SaaS Readiness Review</t>
        </is>
      </c>
      <c r="H21" s="103" t="inlineStr">
        <is>
          <t>server.py:3993-3995</t>
        </is>
      </c>
      <c r="I21" s="103" t="inlineStr">
        <is>
          <t>S</t>
        </is>
      </c>
      <c r="J21" s="104" t="inlineStr">
        <is>
          <t>Done</t>
        </is>
      </c>
      <c r="K21" s="103" t="inlineStr"/>
      <c r="L21" s="103" t="inlineStr">
        <is>
          <t>2026-08-09</t>
        </is>
      </c>
      <c r="M21" s="103" t="inlineStr">
        <is>
          <t>2026-08-09</t>
        </is>
      </c>
      <c r="N21" s="41" t="inlineStr">
        <is>
          <t>No</t>
        </is>
      </c>
      <c r="O21" s="22" t="inlineStr">
        <is>
          <t>Shipped in FIX-003-A (6a1ecec).</t>
        </is>
      </c>
    </row>
    <row r="22" ht="32" customHeight="1">
      <c r="A22" s="103" t="inlineStr">
        <is>
          <t>S2-05</t>
        </is>
      </c>
      <c r="B22" s="40" t="inlineStr">
        <is>
          <t>Sprint 2</t>
        </is>
      </c>
      <c r="C22" s="103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103" t="inlineStr">
        <is>
          <t>SaaS Readiness Review</t>
        </is>
      </c>
      <c r="H22" s="103" t="inlineStr">
        <is>
          <t>server.py:2142-2158; routers/decisions.py:44,172-175</t>
        </is>
      </c>
      <c r="I22" s="103" t="inlineStr">
        <is>
          <t>S</t>
        </is>
      </c>
      <c r="J22" s="104" t="inlineStr">
        <is>
          <t>Done</t>
        </is>
      </c>
      <c r="K22" s="103" t="inlineStr"/>
      <c r="L22" s="103" t="inlineStr">
        <is>
          <t>2026-08-10</t>
        </is>
      </c>
      <c r="M22" s="103" t="inlineStr">
        <is>
          <t>2026-08-10</t>
        </is>
      </c>
      <c r="N22" s="41" t="inlineStr">
        <is>
          <t>No</t>
        </is>
      </c>
      <c r="O22" s="22" t="inlineStr">
        <is>
          <t>Shipped in FIX-003-B (f18bbc3).</t>
        </is>
      </c>
    </row>
    <row r="23" ht="32" customHeight="1">
      <c r="A23" s="103" t="inlineStr">
        <is>
          <t>S2-06</t>
        </is>
      </c>
      <c r="B23" s="40" t="inlineStr">
        <is>
          <t>Sprint 2</t>
        </is>
      </c>
      <c r="C23" s="103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103" t="inlineStr">
        <is>
          <t>SaaS Readiness Review</t>
        </is>
      </c>
      <c r="H23" s="103" t="inlineStr">
        <is>
          <t>core.py:225-226</t>
        </is>
      </c>
      <c r="I23" s="103" t="inlineStr">
        <is>
          <t>M</t>
        </is>
      </c>
      <c r="J23" s="104" t="inlineStr">
        <is>
          <t>Done</t>
        </is>
      </c>
      <c r="K23" s="103" t="inlineStr"/>
      <c r="L23" s="103" t="inlineStr">
        <is>
          <t>2026-08-10</t>
        </is>
      </c>
      <c r="M23" s="103" t="inlineStr">
        <is>
          <t>2026-08-10</t>
        </is>
      </c>
      <c r="N23" s="41" t="inlineStr">
        <is>
          <t>No</t>
        </is>
      </c>
      <c r="O23" s="22" t="inlineStr">
        <is>
          <t xml:space="preserve">Shipped in FIX-003-C (f48bd24). </t>
        </is>
      </c>
    </row>
    <row r="24" ht="32" customHeight="1">
      <c r="A24" s="103" t="inlineStr">
        <is>
          <t>S2-07</t>
        </is>
      </c>
      <c r="B24" s="40" t="inlineStr">
        <is>
          <t>Sprint 2</t>
        </is>
      </c>
      <c r="C24" s="103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103" t="inlineStr">
        <is>
          <t>SaaS Readiness Review</t>
        </is>
      </c>
      <c r="H24" s="103" t="inlineStr">
        <is>
          <t>routers/auth.py</t>
        </is>
      </c>
      <c r="I24" s="103" t="inlineStr">
        <is>
          <t>M</t>
        </is>
      </c>
      <c r="J24" s="37" t="inlineStr">
        <is>
          <t>Backlog</t>
        </is>
      </c>
      <c r="K24" s="103" t="inlineStr"/>
      <c r="L24" s="103" t="inlineStr"/>
      <c r="M24" s="103" t="inlineStr"/>
      <c r="N24" s="41" t="inlineStr">
        <is>
          <t>No</t>
        </is>
      </c>
      <c r="O24" s="22" t="inlineStr"/>
    </row>
    <row r="25" ht="32" customHeight="1">
      <c r="A25" s="103" t="inlineStr">
        <is>
          <t>S2-08</t>
        </is>
      </c>
      <c r="B25" s="40" t="inlineStr">
        <is>
          <t>Sprint 2</t>
        </is>
      </c>
      <c r="C25" s="103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103" t="inlineStr">
        <is>
          <t>Schema/Scale/Go-Live Review</t>
        </is>
      </c>
      <c r="H25" s="103" t="inlineStr">
        <is>
          <t>server.py:4865</t>
        </is>
      </c>
      <c r="I25" s="103" t="inlineStr">
        <is>
          <t>S</t>
        </is>
      </c>
      <c r="J25" s="104" t="inlineStr">
        <is>
          <t>Done</t>
        </is>
      </c>
      <c r="K25" s="103" t="inlineStr"/>
      <c r="L25" s="103" t="inlineStr">
        <is>
          <t>2026-08-10</t>
        </is>
      </c>
      <c r="M25" s="103" t="inlineStr">
        <is>
          <t>2026-08-10</t>
        </is>
      </c>
      <c r="N25" s="41" t="inlineStr">
        <is>
          <t>No</t>
        </is>
      </c>
      <c r="O25" s="22" t="inlineStr">
        <is>
          <t>Shipped in FIX-003-B (f18bbc3).</t>
        </is>
      </c>
    </row>
    <row r="26" ht="32" customHeight="1">
      <c r="A26" s="103" t="inlineStr">
        <is>
          <t>S2-09</t>
        </is>
      </c>
      <c r="B26" s="40" t="inlineStr">
        <is>
          <t>Sprint 2</t>
        </is>
      </c>
      <c r="C26" s="103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103" t="inlineStr">
        <is>
          <t>Schema/Scale/Go-Live Review</t>
        </is>
      </c>
      <c r="H26" s="103" t="inlineStr">
        <is>
          <t>routers/tasks.py; server.py:3326</t>
        </is>
      </c>
      <c r="I26" s="103" t="inlineStr">
        <is>
          <t>S</t>
        </is>
      </c>
      <c r="J26" s="104" t="inlineStr">
        <is>
          <t>Done</t>
        </is>
      </c>
      <c r="K26" s="103" t="inlineStr"/>
      <c r="L26" s="103" t="inlineStr">
        <is>
          <t>2026-08-10</t>
        </is>
      </c>
      <c r="M26" s="103" t="inlineStr">
        <is>
          <t>2026-08-10</t>
        </is>
      </c>
      <c r="N26" s="41" t="inlineStr">
        <is>
          <t>No</t>
        </is>
      </c>
      <c r="O26" s="22" t="inlineStr">
        <is>
          <t xml:space="preserve">Shipped in FIX-003-C (f48bd24). </t>
        </is>
      </c>
    </row>
    <row r="27" ht="32" customHeight="1">
      <c r="A27" s="103" t="inlineStr">
        <is>
          <t>S2-10</t>
        </is>
      </c>
      <c r="B27" s="40" t="inlineStr">
        <is>
          <t>Sprint 2</t>
        </is>
      </c>
      <c r="C27" s="103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103" t="inlineStr">
        <is>
          <t>Schema/Scale/Go-Live Review</t>
        </is>
      </c>
      <c r="H27" s="103" t="inlineStr">
        <is>
          <t>routers/auth.py:92-93</t>
        </is>
      </c>
      <c r="I27" s="103" t="inlineStr">
        <is>
          <t>S</t>
        </is>
      </c>
      <c r="J27" s="104" t="inlineStr">
        <is>
          <t>Done</t>
        </is>
      </c>
      <c r="K27" s="103" t="inlineStr"/>
      <c r="L27" s="103" t="inlineStr">
        <is>
          <t>2026-08-10</t>
        </is>
      </c>
      <c r="M27" s="103" t="inlineStr">
        <is>
          <t>2026-08-10</t>
        </is>
      </c>
      <c r="N27" s="41" t="inlineStr">
        <is>
          <t>No</t>
        </is>
      </c>
      <c r="O27" s="22" t="inlineStr">
        <is>
          <t>Shipped in FIX-003-B (f18bbc3).</t>
        </is>
      </c>
    </row>
    <row r="28" ht="32" customHeight="1">
      <c r="A28" s="103" t="inlineStr">
        <is>
          <t>S2-11</t>
        </is>
      </c>
      <c r="B28" s="40" t="inlineStr">
        <is>
          <t>Sprint 2</t>
        </is>
      </c>
      <c r="C28" s="103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103" t="inlineStr">
        <is>
          <t>Schema/Scale/Go-Live Review</t>
        </is>
      </c>
      <c r="H28" s="103" t="inlineStr">
        <is>
          <t>server.py:1154-1160</t>
        </is>
      </c>
      <c r="I28" s="103" t="inlineStr">
        <is>
          <t>S</t>
        </is>
      </c>
      <c r="J28" s="104" t="inlineStr">
        <is>
          <t>Done</t>
        </is>
      </c>
      <c r="K28" s="103" t="inlineStr"/>
      <c r="L28" s="103" t="inlineStr">
        <is>
          <t>2026-08-10</t>
        </is>
      </c>
      <c r="M28" s="103" t="inlineStr">
        <is>
          <t>2026-08-10</t>
        </is>
      </c>
      <c r="N28" s="41" t="inlineStr">
        <is>
          <t>No</t>
        </is>
      </c>
      <c r="O28" s="22" t="inlineStr">
        <is>
          <t xml:space="preserve">Shipped in FIX-003-C (f48bd24). </t>
        </is>
      </c>
    </row>
    <row r="29" ht="32" customHeight="1">
      <c r="A29" s="103" t="inlineStr">
        <is>
          <t>S2-12</t>
        </is>
      </c>
      <c r="B29" s="40" t="inlineStr">
        <is>
          <t>Sprint 2</t>
        </is>
      </c>
      <c r="C29" s="103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103" t="inlineStr">
        <is>
          <t>Schema/Scale/Go-Live Review</t>
        </is>
      </c>
      <c r="H29" s="103" t="inlineStr">
        <is>
          <t>server.py:2433</t>
        </is>
      </c>
      <c r="I29" s="103" t="inlineStr">
        <is>
          <t>S</t>
        </is>
      </c>
      <c r="J29" s="104" t="inlineStr">
        <is>
          <t>Done</t>
        </is>
      </c>
      <c r="K29" s="103" t="inlineStr"/>
      <c r="L29" s="103" t="inlineStr">
        <is>
          <t>2026-08-10</t>
        </is>
      </c>
      <c r="M29" s="103" t="inlineStr">
        <is>
          <t>2026-08-10</t>
        </is>
      </c>
      <c r="N29" s="41" t="inlineStr">
        <is>
          <t>No</t>
        </is>
      </c>
      <c r="O29" s="22" t="inlineStr">
        <is>
          <t>Already closed by FIX-001-F; regression-guarded in FIX-003-B.</t>
        </is>
      </c>
    </row>
    <row r="30" ht="32" customHeight="1">
      <c r="A30" s="103" t="inlineStr">
        <is>
          <t>S3-01</t>
        </is>
      </c>
      <c r="B30" s="43" t="inlineStr">
        <is>
          <t>Sprint 3</t>
        </is>
      </c>
      <c r="C30" s="103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103" t="inlineStr">
        <is>
          <t>SaaS Readiness Review</t>
        </is>
      </c>
      <c r="H30" s="103" t="inlineStr">
        <is>
          <t>requirements.txt:129</t>
        </is>
      </c>
      <c r="I30" s="103" t="inlineStr">
        <is>
          <t>L</t>
        </is>
      </c>
      <c r="J30" s="37" t="inlineStr">
        <is>
          <t>Backlog</t>
        </is>
      </c>
      <c r="K30" s="103" t="inlineStr"/>
      <c r="L30" s="103" t="inlineStr"/>
      <c r="M30" s="103" t="inlineStr"/>
      <c r="N30" s="23" t="inlineStr">
        <is>
          <t>Yes</t>
        </is>
      </c>
      <c r="O30" s="22" t="inlineStr"/>
    </row>
    <row r="31" ht="32" customHeight="1">
      <c r="A31" s="103" t="inlineStr">
        <is>
          <t>S3-02</t>
        </is>
      </c>
      <c r="B31" s="43" t="inlineStr">
        <is>
          <t>Sprint 3</t>
        </is>
      </c>
      <c r="C31" s="103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103" t="inlineStr">
        <is>
          <t>SaaS Readiness Review</t>
        </is>
      </c>
      <c r="H31" s="103" t="inlineStr">
        <is>
          <t>tenant document schema</t>
        </is>
      </c>
      <c r="I31" s="103" t="inlineStr">
        <is>
          <t>M</t>
        </is>
      </c>
      <c r="J31" s="37" t="inlineStr">
        <is>
          <t>Backlog</t>
        </is>
      </c>
      <c r="K31" s="103" t="inlineStr"/>
      <c r="L31" s="103" t="inlineStr"/>
      <c r="M31" s="103" t="inlineStr"/>
      <c r="N31" s="23" t="inlineStr">
        <is>
          <t>Yes</t>
        </is>
      </c>
      <c r="O31" s="22" t="inlineStr"/>
    </row>
    <row r="32" ht="32" customHeight="1">
      <c r="A32" s="103" t="inlineStr">
        <is>
          <t>S3-03</t>
        </is>
      </c>
      <c r="B32" s="43" t="inlineStr">
        <is>
          <t>Sprint 3</t>
        </is>
      </c>
      <c r="C32" s="103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103" t="inlineStr">
        <is>
          <t>SaaS Readiness Review</t>
        </is>
      </c>
      <c r="H32" s="103" t="inlineStr">
        <is>
          <t>config.py:53-60; core.py:177-205; routers/admin.py:335-348</t>
        </is>
      </c>
      <c r="I32" s="103" t="inlineStr">
        <is>
          <t>L</t>
        </is>
      </c>
      <c r="J32" s="37" t="inlineStr">
        <is>
          <t>Backlog</t>
        </is>
      </c>
      <c r="K32" s="103" t="inlineStr"/>
      <c r="L32" s="103" t="inlineStr"/>
      <c r="M32" s="103" t="inlineStr"/>
      <c r="N32" s="23" t="inlineStr">
        <is>
          <t>Yes</t>
        </is>
      </c>
      <c r="O32" s="22" t="inlineStr"/>
    </row>
    <row r="33" ht="32" customHeight="1">
      <c r="A33" s="103" t="inlineStr">
        <is>
          <t>S3-04</t>
        </is>
      </c>
      <c r="B33" s="43" t="inlineStr">
        <is>
          <t>Sprint 3</t>
        </is>
      </c>
      <c r="C33" s="103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103" t="inlineStr">
        <is>
          <t>SaaS Readiness Review</t>
        </is>
      </c>
      <c r="H33" s="103" t="inlineStr">
        <is>
          <t>services/usage.py</t>
        </is>
      </c>
      <c r="I33" s="103" t="inlineStr">
        <is>
          <t>M</t>
        </is>
      </c>
      <c r="J33" s="37" t="inlineStr">
        <is>
          <t>Backlog</t>
        </is>
      </c>
      <c r="K33" s="103" t="inlineStr"/>
      <c r="L33" s="103" t="inlineStr"/>
      <c r="M33" s="103" t="inlineStr"/>
      <c r="N33" s="23" t="inlineStr">
        <is>
          <t>Yes</t>
        </is>
      </c>
      <c r="O33" s="22" t="inlineStr"/>
    </row>
    <row r="34" ht="32" customHeight="1">
      <c r="A34" s="103" t="inlineStr">
        <is>
          <t>S4-01</t>
        </is>
      </c>
      <c r="B34" s="44" t="inlineStr">
        <is>
          <t>Sprint 4</t>
        </is>
      </c>
      <c r="C34" s="103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103" t="inlineStr">
        <is>
          <t>AI/Brain/Agentic Review</t>
        </is>
      </c>
      <c r="H34" s="103" t="inlineStr">
        <is>
          <t>server.py:4894; brain.py:250-255</t>
        </is>
      </c>
      <c r="I34" s="103" t="inlineStr">
        <is>
          <t>S</t>
        </is>
      </c>
      <c r="J34" s="37" t="inlineStr">
        <is>
          <t>Backlog</t>
        </is>
      </c>
      <c r="K34" s="103" t="inlineStr"/>
      <c r="L34" s="103" t="inlineStr"/>
      <c r="M34" s="103" t="inlineStr"/>
      <c r="N34" s="41" t="inlineStr">
        <is>
          <t>No</t>
        </is>
      </c>
      <c r="O34" s="22" t="inlineStr"/>
    </row>
    <row r="35" ht="32" customHeight="1">
      <c r="A35" s="103" t="inlineStr">
        <is>
          <t>S4-02</t>
        </is>
      </c>
      <c r="B35" s="44" t="inlineStr">
        <is>
          <t>Sprint 4</t>
        </is>
      </c>
      <c r="C35" s="103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103" t="inlineStr">
        <is>
          <t>AI/Brain/Agentic Review</t>
        </is>
      </c>
      <c r="H35" s="103" t="inlineStr">
        <is>
          <t>tasks.py:507; services/brain_context.py</t>
        </is>
      </c>
      <c r="I35" s="103" t="inlineStr">
        <is>
          <t>M</t>
        </is>
      </c>
      <c r="J35" s="37" t="inlineStr">
        <is>
          <t>Backlog</t>
        </is>
      </c>
      <c r="K35" s="103" t="inlineStr"/>
      <c r="L35" s="103" t="inlineStr"/>
      <c r="M35" s="103" t="inlineStr"/>
      <c r="N35" s="41" t="inlineStr">
        <is>
          <t>No</t>
        </is>
      </c>
      <c r="O35" s="22" t="inlineStr"/>
    </row>
    <row r="36" ht="32" customHeight="1">
      <c r="A36" s="103" t="inlineStr">
        <is>
          <t>S4-03</t>
        </is>
      </c>
      <c r="B36" s="44" t="inlineStr">
        <is>
          <t>Sprint 4</t>
        </is>
      </c>
      <c r="C36" s="103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103" t="inlineStr">
        <is>
          <t>AI/Brain/Agentic Review</t>
        </is>
      </c>
      <c r="H36" s="103" t="inlineStr">
        <is>
          <t>brain.py:714,752,794</t>
        </is>
      </c>
      <c r="I36" s="103" t="inlineStr">
        <is>
          <t>S</t>
        </is>
      </c>
      <c r="J36" s="37" t="inlineStr">
        <is>
          <t>Backlog</t>
        </is>
      </c>
      <c r="K36" s="103" t="inlineStr"/>
      <c r="L36" s="103" t="inlineStr"/>
      <c r="M36" s="103" t="inlineStr"/>
      <c r="N36" s="41" t="inlineStr">
        <is>
          <t>No</t>
        </is>
      </c>
      <c r="O36" s="22" t="inlineStr"/>
    </row>
    <row r="37" ht="32" customHeight="1">
      <c r="A37" s="103" t="inlineStr">
        <is>
          <t>S4-04</t>
        </is>
      </c>
      <c r="B37" s="44" t="inlineStr">
        <is>
          <t>Sprint 4</t>
        </is>
      </c>
      <c r="C37" s="103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103" t="inlineStr">
        <is>
          <t>AI/Brain/Agentic Review</t>
        </is>
      </c>
      <c r="H37" s="103" t="inlineStr">
        <is>
          <t>routers/brain.py:52,205</t>
        </is>
      </c>
      <c r="I37" s="103" t="inlineStr">
        <is>
          <t>M</t>
        </is>
      </c>
      <c r="J37" s="37" t="inlineStr">
        <is>
          <t>Backlog</t>
        </is>
      </c>
      <c r="K37" s="103" t="inlineStr"/>
      <c r="L37" s="103" t="inlineStr"/>
      <c r="M37" s="103" t="inlineStr"/>
      <c r="N37" s="41" t="inlineStr">
        <is>
          <t>No</t>
        </is>
      </c>
      <c r="O37" s="22" t="inlineStr"/>
    </row>
    <row r="38" ht="32" customHeight="1">
      <c r="A38" s="103" t="inlineStr">
        <is>
          <t>S4-05</t>
        </is>
      </c>
      <c r="B38" s="44" t="inlineStr">
        <is>
          <t>Sprint 4</t>
        </is>
      </c>
      <c r="C38" s="103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103" t="inlineStr">
        <is>
          <t>AI/Brain/Agentic Review</t>
        </is>
      </c>
      <c r="H38" s="103" t="inlineStr">
        <is>
          <t>routers/brain_docs.py:147-213</t>
        </is>
      </c>
      <c r="I38" s="103" t="inlineStr">
        <is>
          <t>L</t>
        </is>
      </c>
      <c r="J38" s="37" t="inlineStr">
        <is>
          <t>Backlog</t>
        </is>
      </c>
      <c r="K38" s="103" t="inlineStr"/>
      <c r="L38" s="103" t="inlineStr"/>
      <c r="M38" s="103" t="inlineStr"/>
      <c r="N38" s="41" t="inlineStr">
        <is>
          <t>No</t>
        </is>
      </c>
      <c r="O38" s="22" t="inlineStr"/>
    </row>
    <row r="39" ht="32" customHeight="1">
      <c r="A39" s="103" t="inlineStr">
        <is>
          <t>S4-06</t>
        </is>
      </c>
      <c r="B39" s="44" t="inlineStr">
        <is>
          <t>Sprint 4</t>
        </is>
      </c>
      <c r="C39" s="103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103" t="inlineStr">
        <is>
          <t>AI/Brain/Agentic Review</t>
        </is>
      </c>
      <c r="H39" s="103" t="inlineStr">
        <is>
          <t>(new infra)</t>
        </is>
      </c>
      <c r="I39" s="103" t="inlineStr">
        <is>
          <t>L</t>
        </is>
      </c>
      <c r="J39" s="37" t="inlineStr">
        <is>
          <t>Backlog</t>
        </is>
      </c>
      <c r="K39" s="103" t="inlineStr"/>
      <c r="L39" s="103" t="inlineStr"/>
      <c r="M39" s="103" t="inlineStr"/>
      <c r="N39" s="41" t="inlineStr">
        <is>
          <t>No</t>
        </is>
      </c>
      <c r="O39" s="22" t="inlineStr"/>
    </row>
    <row r="40" ht="32" customHeight="1">
      <c r="A40" s="103" t="inlineStr">
        <is>
          <t>S4-07</t>
        </is>
      </c>
      <c r="B40" s="44" t="inlineStr">
        <is>
          <t>Sprint 4</t>
        </is>
      </c>
      <c r="C40" s="103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103" t="inlineStr">
        <is>
          <t>AI/Brain/Agentic Review</t>
        </is>
      </c>
      <c r="H40" s="103" t="inlineStr">
        <is>
          <t>routers/brain.py; routers/brain_router.py</t>
        </is>
      </c>
      <c r="I40" s="103" t="inlineStr">
        <is>
          <t>M</t>
        </is>
      </c>
      <c r="J40" s="37" t="inlineStr">
        <is>
          <t>Backlog</t>
        </is>
      </c>
      <c r="K40" s="103" t="inlineStr"/>
      <c r="L40" s="103" t="inlineStr"/>
      <c r="M40" s="103" t="inlineStr"/>
      <c r="N40" s="41" t="inlineStr">
        <is>
          <t>No</t>
        </is>
      </c>
      <c r="O40" s="22" t="inlineStr"/>
    </row>
    <row r="41" ht="32" customHeight="1">
      <c r="A41" s="103" t="inlineStr">
        <is>
          <t>S4-08</t>
        </is>
      </c>
      <c r="B41" s="44" t="inlineStr">
        <is>
          <t>Sprint 4</t>
        </is>
      </c>
      <c r="C41" s="103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103" t="inlineStr">
        <is>
          <t>AI/Brain/Agentic Review</t>
        </is>
      </c>
      <c r="H41" s="103" t="inlineStr">
        <is>
          <t>routers/brain_router.py:266-277,481-482</t>
        </is>
      </c>
      <c r="I41" s="103" t="inlineStr">
        <is>
          <t>L</t>
        </is>
      </c>
      <c r="J41" s="37" t="inlineStr">
        <is>
          <t>Backlog</t>
        </is>
      </c>
      <c r="K41" s="103" t="inlineStr"/>
      <c r="L41" s="103" t="inlineStr"/>
      <c r="M41" s="103" t="inlineStr"/>
      <c r="N41" s="41" t="inlineStr">
        <is>
          <t>No</t>
        </is>
      </c>
      <c r="O41" s="22" t="inlineStr"/>
    </row>
    <row r="42" ht="32" customHeight="1">
      <c r="A42" s="103" t="inlineStr">
        <is>
          <t>S4-09</t>
        </is>
      </c>
      <c r="B42" s="44" t="inlineStr">
        <is>
          <t>Sprint 4</t>
        </is>
      </c>
      <c r="C42" s="103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103" t="inlineStr">
        <is>
          <t>AI/Brain/Agentic Review</t>
        </is>
      </c>
      <c r="H42" s="103" t="inlineStr">
        <is>
          <t>routers/brain_router.py:95,353</t>
        </is>
      </c>
      <c r="I42" s="103" t="inlineStr">
        <is>
          <t>M</t>
        </is>
      </c>
      <c r="J42" s="37" t="inlineStr">
        <is>
          <t>Backlog</t>
        </is>
      </c>
      <c r="K42" s="103" t="inlineStr"/>
      <c r="L42" s="103" t="inlineStr"/>
      <c r="M42" s="103" t="inlineStr"/>
      <c r="N42" s="41" t="inlineStr">
        <is>
          <t>No</t>
        </is>
      </c>
      <c r="O42" s="22" t="inlineStr"/>
    </row>
    <row r="43" ht="32" customHeight="1">
      <c r="A43" s="103" t="inlineStr">
        <is>
          <t>S4-10</t>
        </is>
      </c>
      <c r="B43" s="44" t="inlineStr">
        <is>
          <t>Sprint 4</t>
        </is>
      </c>
      <c r="C43" s="103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103" t="inlineStr">
        <is>
          <t>AI/Brain/Agentic Review</t>
        </is>
      </c>
      <c r="H43" s="103" t="inlineStr">
        <is>
          <t>ledger.py:521-838; server.py (workflow advance, meetings)</t>
        </is>
      </c>
      <c r="I43" s="103" t="inlineStr">
        <is>
          <t>L</t>
        </is>
      </c>
      <c r="J43" s="37" t="inlineStr">
        <is>
          <t>Backlog</t>
        </is>
      </c>
      <c r="K43" s="103" t="inlineStr"/>
      <c r="L43" s="103" t="inlineStr"/>
      <c r="M43" s="103" t="inlineStr"/>
      <c r="N43" s="41" t="inlineStr">
        <is>
          <t>No</t>
        </is>
      </c>
      <c r="O43" s="22" t="inlineStr"/>
    </row>
    <row r="44" ht="32" customHeight="1">
      <c r="A44" s="103" t="inlineStr">
        <is>
          <t>S4-11</t>
        </is>
      </c>
      <c r="B44" s="44" t="inlineStr">
        <is>
          <t>Sprint 4</t>
        </is>
      </c>
      <c r="C44" s="103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103" t="inlineStr">
        <is>
          <t>AI/Brain/Agentic Review</t>
        </is>
      </c>
      <c r="H44" s="103" t="inlineStr">
        <is>
          <t>services/brain_context.py:36-47</t>
        </is>
      </c>
      <c r="I44" s="103" t="inlineStr">
        <is>
          <t>M</t>
        </is>
      </c>
      <c r="J44" s="37" t="inlineStr">
        <is>
          <t>Backlog</t>
        </is>
      </c>
      <c r="K44" s="103" t="inlineStr"/>
      <c r="L44" s="103" t="inlineStr"/>
      <c r="M44" s="103" t="inlineStr"/>
      <c r="N44" s="41" t="inlineStr">
        <is>
          <t>No</t>
        </is>
      </c>
      <c r="O44" s="22" t="inlineStr"/>
    </row>
    <row r="45" ht="32" customHeight="1">
      <c r="A45" s="103" t="inlineStr">
        <is>
          <t>S5-01</t>
        </is>
      </c>
      <c r="B45" s="45" t="inlineStr">
        <is>
          <t>Sprint 5</t>
        </is>
      </c>
      <c r="C45" s="103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103" t="inlineStr">
        <is>
          <t>Go-Live Gate</t>
        </is>
      </c>
      <c r="H45" s="103" t="inlineStr">
        <is>
          <t>(infra)</t>
        </is>
      </c>
      <c r="I45" s="103" t="inlineStr">
        <is>
          <t>M</t>
        </is>
      </c>
      <c r="J45" s="37" t="inlineStr">
        <is>
          <t>Backlog</t>
        </is>
      </c>
      <c r="K45" s="103" t="inlineStr"/>
      <c r="L45" s="103" t="inlineStr"/>
      <c r="M45" s="103" t="inlineStr"/>
      <c r="N45" s="23" t="inlineStr">
        <is>
          <t>Yes</t>
        </is>
      </c>
      <c r="O45" s="22" t="inlineStr"/>
    </row>
    <row r="46" ht="32" customHeight="1">
      <c r="A46" s="103" t="inlineStr">
        <is>
          <t>S5-02</t>
        </is>
      </c>
      <c r="B46" s="45" t="inlineStr">
        <is>
          <t>Sprint 5</t>
        </is>
      </c>
      <c r="C46" s="103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103" t="inlineStr">
        <is>
          <t>Go-Live Gate</t>
        </is>
      </c>
      <c r="H46" s="103" t="inlineStr">
        <is>
          <t>(new)</t>
        </is>
      </c>
      <c r="I46" s="103" t="inlineStr">
        <is>
          <t>M</t>
        </is>
      </c>
      <c r="J46" s="37" t="inlineStr">
        <is>
          <t>Backlog</t>
        </is>
      </c>
      <c r="K46" s="103" t="inlineStr"/>
      <c r="L46" s="103" t="inlineStr"/>
      <c r="M46" s="103" t="inlineStr"/>
      <c r="N46" s="23" t="inlineStr">
        <is>
          <t>Yes</t>
        </is>
      </c>
      <c r="O46" s="22" t="inlineStr"/>
    </row>
    <row r="47" ht="32" customHeight="1">
      <c r="A47" s="103" t="inlineStr">
        <is>
          <t>S5-03</t>
        </is>
      </c>
      <c r="B47" s="45" t="inlineStr">
        <is>
          <t>Sprint 5</t>
        </is>
      </c>
      <c r="C47" s="103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103" t="inlineStr">
        <is>
          <t>SaaS Readiness Review</t>
        </is>
      </c>
      <c r="H47" s="103" t="inlineStr">
        <is>
          <t>(missing)</t>
        </is>
      </c>
      <c r="I47" s="103" t="inlineStr">
        <is>
          <t>M</t>
        </is>
      </c>
      <c r="J47" s="37" t="inlineStr">
        <is>
          <t>Backlog</t>
        </is>
      </c>
      <c r="K47" s="103" t="inlineStr"/>
      <c r="L47" s="103" t="inlineStr"/>
      <c r="M47" s="103" t="inlineStr"/>
      <c r="N47" s="23" t="inlineStr">
        <is>
          <t>Yes</t>
        </is>
      </c>
      <c r="O47" s="22" t="inlineStr"/>
    </row>
    <row r="48" ht="32" customHeight="1">
      <c r="A48" s="103" t="inlineStr">
        <is>
          <t>S5-04</t>
        </is>
      </c>
      <c r="B48" s="45" t="inlineStr">
        <is>
          <t>Sprint 5</t>
        </is>
      </c>
      <c r="C48" s="103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103" t="inlineStr">
        <is>
          <t>SaaS Readiness Review</t>
        </is>
      </c>
      <c r="H48" s="103" t="inlineStr">
        <is>
          <t>(missing)</t>
        </is>
      </c>
      <c r="I48" s="103" t="inlineStr">
        <is>
          <t>M</t>
        </is>
      </c>
      <c r="J48" s="37" t="inlineStr">
        <is>
          <t>Backlog</t>
        </is>
      </c>
      <c r="K48" s="103" t="inlineStr"/>
      <c r="L48" s="103" t="inlineStr"/>
      <c r="M48" s="103" t="inlineStr"/>
      <c r="N48" s="23" t="inlineStr">
        <is>
          <t>Yes</t>
        </is>
      </c>
      <c r="O48" s="22" t="inlineStr"/>
    </row>
    <row r="49" ht="32" customHeight="1">
      <c r="A49" s="103" t="inlineStr">
        <is>
          <t>S5-05</t>
        </is>
      </c>
      <c r="B49" s="45" t="inlineStr">
        <is>
          <t>Sprint 5</t>
        </is>
      </c>
      <c r="C49" s="103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103" t="inlineStr">
        <is>
          <t>Go-Live Gate</t>
        </is>
      </c>
      <c r="H49" s="103" t="inlineStr">
        <is>
          <t>(new)</t>
        </is>
      </c>
      <c r="I49" s="103" t="inlineStr">
        <is>
          <t>L</t>
        </is>
      </c>
      <c r="J49" s="37" t="inlineStr">
        <is>
          <t>Backlog</t>
        </is>
      </c>
      <c r="K49" s="103" t="inlineStr"/>
      <c r="L49" s="103" t="inlineStr"/>
      <c r="M49" s="103" t="inlineStr"/>
      <c r="N49" s="23" t="inlineStr">
        <is>
          <t>Yes</t>
        </is>
      </c>
      <c r="O49" s="22" t="inlineStr"/>
    </row>
    <row r="50" ht="32" customHeight="1">
      <c r="A50" s="103" t="inlineStr">
        <is>
          <t>S5-06</t>
        </is>
      </c>
      <c r="B50" s="45" t="inlineStr">
        <is>
          <t>Sprint 5</t>
        </is>
      </c>
      <c r="C50" s="103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103" t="inlineStr">
        <is>
          <t>Go-Live Gate</t>
        </is>
      </c>
      <c r="H50" s="103" t="inlineStr">
        <is>
          <t>backend/pytest.ini, backend/tests/</t>
        </is>
      </c>
      <c r="I50" s="103" t="inlineStr">
        <is>
          <t>M</t>
        </is>
      </c>
      <c r="J50" s="37" t="inlineStr">
        <is>
          <t>Backlog</t>
        </is>
      </c>
      <c r="K50" s="103" t="inlineStr"/>
      <c r="L50" s="103" t="inlineStr"/>
      <c r="M50" s="103" t="inlineStr"/>
      <c r="N50" s="23" t="inlineStr">
        <is>
          <t>Yes</t>
        </is>
      </c>
      <c r="O50" s="22" t="inlineStr"/>
    </row>
    <row r="51" ht="32" customHeight="1">
      <c r="A51" s="103" t="inlineStr">
        <is>
          <t>S5-07</t>
        </is>
      </c>
      <c r="B51" s="45" t="inlineStr">
        <is>
          <t>Sprint 5</t>
        </is>
      </c>
      <c r="C51" s="103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103" t="inlineStr">
        <is>
          <t>Go-Live Gate</t>
        </is>
      </c>
      <c r="H51" s="103" t="inlineStr">
        <is>
          <t>(new)</t>
        </is>
      </c>
      <c r="I51" s="103" t="inlineStr">
        <is>
          <t>S</t>
        </is>
      </c>
      <c r="J51" s="37" t="inlineStr">
        <is>
          <t>Backlog</t>
        </is>
      </c>
      <c r="K51" s="103" t="inlineStr"/>
      <c r="L51" s="103" t="inlineStr"/>
      <c r="M51" s="103" t="inlineStr"/>
      <c r="N51" s="23" t="inlineStr">
        <is>
          <t>Yes</t>
        </is>
      </c>
      <c r="O51" s="22" t="inlineStr"/>
    </row>
    <row r="52" ht="32" customHeight="1">
      <c r="A52" s="103" t="inlineStr">
        <is>
          <t>S5-08</t>
        </is>
      </c>
      <c r="B52" s="45" t="inlineStr">
        <is>
          <t>Sprint 5</t>
        </is>
      </c>
      <c r="C52" s="103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103" t="inlineStr">
        <is>
          <t>SaaS Readiness Review</t>
        </is>
      </c>
      <c r="H52" s="103" t="inlineStr">
        <is>
          <t>backend/.env, config.py</t>
        </is>
      </c>
      <c r="I52" s="103" t="inlineStr">
        <is>
          <t>S</t>
        </is>
      </c>
      <c r="J52" s="37" t="inlineStr">
        <is>
          <t>Backlog</t>
        </is>
      </c>
      <c r="K52" s="103" t="inlineStr"/>
      <c r="L52" s="103" t="inlineStr"/>
      <c r="M52" s="103" t="inlineStr"/>
      <c r="N52" s="23" t="inlineStr">
        <is>
          <t>Yes</t>
        </is>
      </c>
      <c r="O52" s="22" t="inlineStr"/>
    </row>
    <row r="53" ht="32" customHeight="1">
      <c r="A53" s="103" t="inlineStr">
        <is>
          <t>S5-09</t>
        </is>
      </c>
      <c r="B53" s="45" t="inlineStr">
        <is>
          <t>Sprint 5</t>
        </is>
      </c>
      <c r="C53" s="103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103" t="inlineStr">
        <is>
          <t>Go-Live Gate</t>
        </is>
      </c>
      <c r="H53" s="103" t="inlineStr">
        <is>
          <t>(process)</t>
        </is>
      </c>
      <c r="I53" s="103" t="inlineStr">
        <is>
          <t>S</t>
        </is>
      </c>
      <c r="J53" s="37" t="inlineStr">
        <is>
          <t>Backlog</t>
        </is>
      </c>
      <c r="K53" s="103" t="inlineStr"/>
      <c r="L53" s="103" t="inlineStr"/>
      <c r="M53" s="103" t="inlineStr"/>
      <c r="N53" s="23" t="inlineStr">
        <is>
          <t>Yes</t>
        </is>
      </c>
      <c r="O53" s="22" t="inlineStr"/>
    </row>
    <row r="54" ht="32" customHeight="1">
      <c r="A54" s="103" t="inlineStr">
        <is>
          <t>S5-10</t>
        </is>
      </c>
      <c r="B54" s="45" t="inlineStr">
        <is>
          <t>Sprint 5</t>
        </is>
      </c>
      <c r="C54" s="103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103" t="inlineStr">
        <is>
          <t>Go-Live Gate</t>
        </is>
      </c>
      <c r="H54" s="103" t="inlineStr">
        <is>
          <t>(process)</t>
        </is>
      </c>
      <c r="I54" s="103" t="inlineStr">
        <is>
          <t>S</t>
        </is>
      </c>
      <c r="J54" s="37" t="inlineStr">
        <is>
          <t>Backlog</t>
        </is>
      </c>
      <c r="K54" s="103" t="inlineStr"/>
      <c r="L54" s="103" t="inlineStr"/>
      <c r="M54" s="103" t="inlineStr"/>
      <c r="N54" s="23" t="inlineStr">
        <is>
          <t>Yes</t>
        </is>
      </c>
      <c r="O54" s="22" t="inlineStr"/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1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32" customWidth="1" min="4" max="4"/>
    <col width="55" customWidth="1" min="5" max="5"/>
    <col width="40" customWidth="1" min="6" max="6"/>
    <col width="40" customWidth="1" min="7" max="7"/>
    <col width="13" customWidth="1" min="8" max="8"/>
    <col width="9" customWidth="1" min="9" max="9"/>
    <col width="12" customWidth="1" min="10" max="10"/>
    <col width="12" customWidth="1" min="11" max="11"/>
    <col width="22" customWidth="1" min="12" max="12"/>
    <col width="45" customWidth="1" min="13" max="13"/>
  </cols>
  <sheetData>
    <row r="1">
      <c r="A1" s="61" t="inlineStr">
        <is>
          <t>Fix Log — every change we make, in order</t>
        </is>
      </c>
    </row>
    <row r="2">
      <c r="A2" s="15" t="inlineStr">
        <is>
          <t>Running record. Updated side-by-side after every shipped commit. Currently: 11 Done, 13 in backlog.</t>
        </is>
      </c>
    </row>
    <row r="4">
      <c r="A4" s="4" t="inlineStr">
        <is>
          <t>Modules</t>
        </is>
      </c>
    </row>
    <row r="5" ht="24" customHeight="1">
      <c r="A5" s="20" t="inlineStr">
        <is>
          <t>Module</t>
        </is>
      </c>
      <c r="B5" s="20" t="inlineStr">
        <is>
          <t>Name</t>
        </is>
      </c>
      <c r="C5" s="20" t="inlineStr">
        <is>
          <t>What it delivers</t>
        </is>
      </c>
      <c r="D5" s="20" t="inlineStr">
        <is>
          <t>Priority</t>
        </is>
      </c>
      <c r="E5" s="20" t="inlineStr">
        <is>
          <t>Status</t>
        </is>
      </c>
    </row>
    <row r="6" ht="75" customHeight="1">
      <c r="A6" s="94" t="inlineStr">
        <is>
          <t>Module 1</t>
        </is>
      </c>
      <c r="B6" s="95" t="inlineStr">
        <is>
          <t>Multi-tenant / Dynamic Workflows</t>
        </is>
      </c>
      <c r="C6" s="95" t="inlineStr">
        <is>
          <t>DONE. 6 fixes shipped: dynamic per-tenant workflow approval, workflow&lt;-&gt;Finance link, tenant-scoped safety helpers, onboarding drafts + AI status tracking, complete tenant deletion (DPDP/GDPR), dynamic terminal stages. Non-textile tenants get their full lifecycle end-to-end.</t>
        </is>
      </c>
      <c r="D6" s="95" t="inlineStr">
        <is>
          <t>P0 for selling to any small business that isn't a textile manufacturer.</t>
        </is>
      </c>
      <c r="E6" s="95" t="inlineStr">
        <is>
          <t>6/6 shipped.</t>
        </is>
      </c>
    </row>
    <row r="7" ht="75" customHeight="1">
      <c r="A7" s="94" t="inlineStr">
        <is>
          <t>Module 2</t>
        </is>
      </c>
      <c r="B7" s="95" t="inlineStr">
        <is>
          <t>Sprint 1 — Scale &amp; Ops</t>
        </is>
      </c>
      <c r="C7" s="95" t="inlineStr">
        <is>
          <t>DONE. 6 fixes shipped: phone index (kills full-collection scans), LLM timeouts + concurrency semaphore, migration ledger, distributed leader lock (multi-replica-safe scheduler), obj_store for all uploads, and Dockerfile + Procfile with production-grade signal handling + healthcheck.</t>
        </is>
      </c>
      <c r="D7" s="95" t="inlineStr">
        <is>
          <t>Turns 'runs in Sharma demo' into 'survives 100 tenants under real load.'</t>
        </is>
      </c>
      <c r="E7" s="105" t="inlineStr">
        <is>
          <t>6/6 shipped. Sprint 1 COMPLETE.</t>
        </is>
      </c>
    </row>
    <row r="8">
      <c r="A8" t="inlineStr">
        <is>
          <t>Module 3</t>
        </is>
      </c>
      <c r="B8" t="inlineStr">
        <is>
          <t>Sprint 2 – Tenancy &amp; Data</t>
        </is>
      </c>
      <c r="C8" t="inlineStr">
        <is>
          <t>IN PROGRESS. 11/12 shipped: tenant helpers (FIX-001-C), TENANT_COLLECTIONS wipe (FIX-001-E), OTP+WhatsApp tenant scoping (FIX-003-A, folds S2-04), hygiene batch (FIX-003-B), JWT revocation + contact rename cascade + AI regen status (FIX-003-C). Remaining 1: S2-07 email verification + password reset (green-field email service).</t>
        </is>
      </c>
      <c r="D8" t="inlineStr">
        <is>
          <t>P0 tenancy bugs closed. Remaining are hardening (session invalidation, email verification, dead index cleanup, denormalized-name staleness) — not blockers for a controlled beta but recommended before wider rollout.</t>
        </is>
      </c>
      <c r="E8" s="106" t="inlineStr">
        <is>
          <t>11/12 shipped. Only S2-07 remains (FIX-003-D).</t>
        </is>
      </c>
    </row>
    <row r="9">
      <c r="A9" s="4" t="inlineStr">
        <is>
          <t>Fix Log entries</t>
        </is>
      </c>
    </row>
    <row r="10" ht="30" customHeight="1">
      <c r="A10" s="62" t="inlineStr">
        <is>
          <t>Fix ID</t>
        </is>
      </c>
      <c r="B10" s="62" t="inlineStr">
        <is>
          <t>Module</t>
        </is>
      </c>
      <c r="C10" s="62" t="inlineStr">
        <is>
          <t>Backlog ID</t>
        </is>
      </c>
      <c r="D10" s="62" t="inlineStr">
        <is>
          <t>Title</t>
        </is>
      </c>
      <c r="E10" s="62" t="inlineStr">
        <is>
          <t>Description</t>
        </is>
      </c>
      <c r="F10" s="62" t="inlineStr">
        <is>
          <t>Files touched</t>
        </is>
      </c>
      <c r="G10" s="62" t="inlineStr">
        <is>
          <t>Related tests</t>
        </is>
      </c>
      <c r="H10" s="63" t="inlineStr">
        <is>
          <t>Status</t>
        </is>
      </c>
      <c r="I10" s="62" t="inlineStr">
        <is>
          <t>Priority</t>
        </is>
      </c>
      <c r="J10" s="63" t="inlineStr">
        <is>
          <t>Started</t>
        </is>
      </c>
      <c r="K10" s="63" t="inlineStr">
        <is>
          <t>Finished</t>
        </is>
      </c>
      <c r="L10" s="63" t="inlineStr">
        <is>
          <t>PR / Commit</t>
        </is>
      </c>
      <c r="M10" s="63" t="inlineStr">
        <is>
          <t>Notes / gotchas</t>
        </is>
      </c>
    </row>
    <row r="11" ht="105" customHeight="1">
      <c r="A11" s="103" t="inlineStr">
        <is>
          <t>FIX-001-A</t>
        </is>
      </c>
      <c r="B11" s="103" t="inlineStr">
        <is>
          <t>Multi-tenant / Dynamic Workflows</t>
        </is>
      </c>
      <c r="C11" s="103" t="inlineStr">
        <is>
          <t>S1-06</t>
        </is>
      </c>
      <c r="D11" s="22" t="inlineStr">
        <is>
          <t>Kill purchase_payment textile hardcode</t>
        </is>
      </c>
      <c r="E11" s="22" t="inlineStr">
        <is>
          <t>Owner-approval loop + dashboard + payment-overdue alerts filtered on the literal 'purchase_payment' string — silently broke for non-textile tenants. Fix uses per-tenant pipeline lookup.</t>
        </is>
      </c>
      <c r="F11" s="22" t="inlineStr">
        <is>
          <t>routers/decisions.py:166; server.py:2429; routers/brief.py:95,98,238,262</t>
        </is>
      </c>
      <c r="G11" s="22" t="inlineStr">
        <is>
          <t>tests/test_workflows_dynamic.py — 19 tests</t>
        </is>
      </c>
      <c r="H11" s="101" t="inlineStr">
        <is>
          <t>Done</t>
        </is>
      </c>
      <c r="I11" s="36" t="inlineStr">
        <is>
          <t>P0</t>
        </is>
      </c>
      <c r="J11" s="103" t="inlineStr">
        <is>
          <t>2026-08-04</t>
        </is>
      </c>
      <c r="K11" s="103" t="inlineStr">
        <is>
          <t>2026-08-04</t>
        </is>
      </c>
      <c r="L11" s="103" t="inlineStr">
        <is>
          <t>cb84474 + 69f4ce3</t>
        </is>
      </c>
      <c r="M11" s="22" t="inlineStr">
        <is>
          <t>First unblock for selling to any small business that isn't a manufacturer.</t>
        </is>
      </c>
    </row>
    <row r="12" ht="105" customHeight="1">
      <c r="A12" s="103" t="inlineStr">
        <is>
          <t>FIX-001-B</t>
        </is>
      </c>
      <c r="B12" s="103" t="inlineStr">
        <is>
          <t>Multi-tenant / Dynamic Workflows</t>
        </is>
      </c>
      <c r="C12" s="103" t="inlineStr">
        <is>
          <t>(discovered mid-fix)</t>
        </is>
      </c>
      <c r="D12" s="22" t="inlineStr">
        <is>
          <t>Wire workflow -&gt; Finance auto-expense on procurement completion</t>
        </is>
      </c>
      <c r="E12" s="22" t="inlineStr">
        <is>
          <t>Workflow terminal-stage advance auto-creates a pending-bill expense in Finance linked to the workflow. Notifies finance role. Idempotent, fire-and-forget.</t>
        </is>
      </c>
      <c r="F12" s="22" t="inlineStr">
        <is>
          <t>server.py:2236; routers/ledger.py:222</t>
        </is>
      </c>
      <c r="G12" s="22" t="inlineStr">
        <is>
          <t>tests/test_workflow_finance_link.py — 17 tests</t>
        </is>
      </c>
      <c r="H12" s="101" t="inlineStr">
        <is>
          <t>Done</t>
        </is>
      </c>
      <c r="I12" s="38" t="inlineStr">
        <is>
          <t>P1</t>
        </is>
      </c>
      <c r="J12" s="103" t="inlineStr">
        <is>
          <t>2026-08-04</t>
        </is>
      </c>
      <c r="K12" s="103" t="inlineStr">
        <is>
          <t>2026-08-09</t>
        </is>
      </c>
      <c r="L12" s="103" t="inlineStr">
        <is>
          <t>98d0291</t>
        </is>
      </c>
      <c r="M12" s="22" t="inlineStr">
        <is>
          <t>Founder no longer records purchases twice. Bill upload -&gt; OCR promotion flow is a follow-up.</t>
        </is>
      </c>
    </row>
    <row r="13" ht="105" customHeight="1">
      <c r="A13" s="103" t="inlineStr">
        <is>
          <t>FIX-001-C</t>
        </is>
      </c>
      <c r="B13" s="103" t="inlineStr">
        <is>
          <t>Multi-tenant / Data Integrity</t>
        </is>
      </c>
      <c r="C13" s="103" t="inlineStr">
        <is>
          <t>S2-01</t>
        </is>
      </c>
      <c r="D13" s="22" t="inlineStr">
        <is>
          <t>Add tenant-scoped safety helpers (_ensure_owned)</t>
        </is>
      </c>
      <c r="E13" s="22" t="inlineStr">
        <is>
          <t>Every update_one/delete_* now routed through services/tenancy.py::tenant_filter() which pins BOTH id AND tenant_id. Python TypeError blocks smuggling different tenant_id via extras.</t>
        </is>
      </c>
      <c r="F13" s="22" t="inlineStr">
        <is>
          <t>services/tenancy.py (new); ~25 sites across routers + server.py</t>
        </is>
      </c>
      <c r="G13" s="22" t="inlineStr">
        <is>
          <t>tests/test_tenancy_helpers.py — 16 tests</t>
        </is>
      </c>
      <c r="H13" s="101" t="inlineStr">
        <is>
          <t>Done</t>
        </is>
      </c>
      <c r="I13" s="38" t="inlineStr">
        <is>
          <t>P1</t>
        </is>
      </c>
      <c r="J13" s="103" t="inlineStr">
        <is>
          <t>2026-08-04</t>
        </is>
      </c>
      <c r="K13" s="103" t="inlineStr">
        <is>
          <t>2026-08-09</t>
        </is>
      </c>
      <c r="L13" s="103" t="inlineStr">
        <is>
          <t>da29cfd</t>
        </is>
      </c>
      <c r="M13" s="22" t="inlineStr">
        <is>
          <t>Grep found 25+ sites vs. audit's 13. Discipline lesson: always grep AFTER refactor.</t>
        </is>
      </c>
    </row>
    <row r="14" ht="105" customHeight="1">
      <c r="A14" s="103" t="inlineStr">
        <is>
          <t>FIX-001-D</t>
        </is>
      </c>
      <c r="B14" s="103" t="inlineStr">
        <is>
          <t>Multi-tenant / Onboarding</t>
        </is>
      </c>
      <c r="C14" s="103" t="inlineStr">
        <is>
          <t>S1-04 partial + new</t>
        </is>
      </c>
      <c r="D14" s="22" t="inlineStr">
        <is>
          <t>Onboarding drafts + AI status tracking + retry endpoint</t>
        </is>
      </c>
      <c r="E14" s="22" t="inlineStr">
        <is>
          <t>Two gaps closed: silent AI degradation (ai_setup_status per generator + regenerate endpoint) and data loss on failure (onboarding_drafts persist each wizard step).</t>
        </is>
      </c>
      <c r="F14" s="22" t="inlineStr">
        <is>
          <t>services/ai_setup.py + services/onboarding_drafts.py (new); +5 endpoints</t>
        </is>
      </c>
      <c r="G14" s="22" t="inlineStr">
        <is>
          <t>tests/test_onboarding_flow.py — 27 tests</t>
        </is>
      </c>
      <c r="H14" s="101" t="inlineStr">
        <is>
          <t>Done</t>
        </is>
      </c>
      <c r="I14" s="38" t="inlineStr">
        <is>
          <t>P1</t>
        </is>
      </c>
      <c r="J14" s="103" t="inlineStr">
        <is>
          <t>2026-08-09</t>
        </is>
      </c>
      <c r="K14" s="103" t="inlineStr">
        <is>
          <t>2026-08-09</t>
        </is>
      </c>
      <c r="L14" s="103" t="inlineStr">
        <is>
          <t>3bc0059</t>
        </is>
      </c>
      <c r="M14" s="22" t="inlineStr">
        <is>
          <t>Idempotent-register (Comprehensive-scope 3e) and onboarding_drafts TTL deferred.</t>
        </is>
      </c>
    </row>
    <row r="15" ht="105" customHeight="1">
      <c r="A15" s="103" t="inlineStr">
        <is>
          <t>FIX-001-E</t>
        </is>
      </c>
      <c r="B15" s="103" t="inlineStr">
        <is>
          <t>Multi-tenant / Data Integrity</t>
        </is>
      </c>
      <c r="C15" s="103" t="inlineStr">
        <is>
          <t>S2-02</t>
        </is>
      </c>
      <c r="D15" s="22" t="inlineStr">
        <is>
          <t>Complete TENANT_COLLECTIONS wipe + file deletion (DPDP/GDPR)</t>
        </is>
      </c>
      <c r="E15" s="22" t="inlineStr">
        <is>
          <t>TENANT_COLLECTIONS grown to 30 (was missing brain_context + brain_documents). Now also iterates db.files and deletes each object from storage before wiping.</t>
        </is>
      </c>
      <c r="F15" s="22" t="inlineStr">
        <is>
          <t>routers/admin.py; services/obj_store.py::delete_object (new)</t>
        </is>
      </c>
      <c r="G15" s="22" t="inlineStr">
        <is>
          <t>tests/test_tenant_deletion.py — 8 tests (incl. drift-detection)</t>
        </is>
      </c>
      <c r="H15" s="101" t="inlineStr">
        <is>
          <t>Done</t>
        </is>
      </c>
      <c r="I15" s="38" t="inlineStr">
        <is>
          <t>P1</t>
        </is>
      </c>
      <c r="J15" s="103" t="inlineStr">
        <is>
          <t>2026-08-04</t>
        </is>
      </c>
      <c r="K15" s="103" t="inlineStr">
        <is>
          <t>2026-08-04</t>
        </is>
      </c>
      <c r="L15" s="103" t="inlineStr">
        <is>
          <t>65cea2c</t>
        </is>
      </c>
      <c r="M15" s="22" t="inlineStr">
        <is>
          <t>Legacy local-disk files depend on Sprint 1 S1-03 to move all uploads to obj_store.</t>
        </is>
      </c>
    </row>
    <row r="16" ht="105" customHeight="1">
      <c r="A16" s="103" t="inlineStr">
        <is>
          <t>FIX-001-F</t>
        </is>
      </c>
      <c r="B16" s="103" t="inlineStr">
        <is>
          <t>Multi-tenant / Dynamic Workflows</t>
        </is>
      </c>
      <c r="C16" s="103" t="inlineStr">
        <is>
          <t>WF-3</t>
        </is>
      </c>
      <c r="D16" s="22" t="inlineStr">
        <is>
          <t>Dynamic pipeline terminal stages ('active workflows' stops climbing forever)</t>
        </is>
      </c>
      <c r="E16" s="22" t="inlineStr">
        <is>
          <t>4 places hardcoded ['delivered','paid'] as terminal stages. New services/workflows.py::all_terminal_stages(om) + legacy hedge. All 4 sites now use dynamic exclusion.</t>
        </is>
      </c>
      <c r="F16" s="22" t="inlineStr">
        <is>
          <t>services/workflows.py; server.py:2500, :3697, :3745, :3911</t>
        </is>
      </c>
      <c r="G16" s="22" t="inlineStr">
        <is>
          <t>tests/test_workflows_dynamic.py — 12 additional tests</t>
        </is>
      </c>
      <c r="H16" s="101" t="inlineStr">
        <is>
          <t>Done</t>
        </is>
      </c>
      <c r="I16" s="42" t="inlineStr">
        <is>
          <t>P2</t>
        </is>
      </c>
      <c r="J16" s="103" t="inlineStr">
        <is>
          <t>2026-08-09</t>
        </is>
      </c>
      <c r="K16" s="103" t="inlineStr">
        <is>
          <t>2026-08-09</t>
        </is>
      </c>
      <c r="L16" s="103" t="inlineStr">
        <is>
          <t>8235c61</t>
        </is>
      </c>
      <c r="M16" s="22" t="inlineStr">
        <is>
          <t>Calendar deliveries also hardcodes pipeline TYPES - see FIX-FUP-09.</t>
        </is>
      </c>
    </row>
    <row r="17" ht="105" customHeight="1">
      <c r="A17" s="103" t="inlineStr">
        <is>
          <t>FIX-002-A</t>
        </is>
      </c>
      <c r="B17" s="103" t="inlineStr">
        <is>
          <t>Sprint 1 / Scale &amp; Ops</t>
        </is>
      </c>
      <c r="C17" s="103" t="inlineStr">
        <is>
          <t>S1-02</t>
        </is>
      </c>
      <c r="D17" s="22" t="inlineStr">
        <is>
          <t>Phone index + kill full-collection scans on OTP + WhatsApp routing</t>
        </is>
      </c>
      <c r="E17" s="22" t="inlineStr">
        <is>
          <t>3 hot paths (OTP request, OTP verify, resolve_wa_tenant) ran full-collection scans over db.users on every call, capped at 2000/5000 users (silent lockout beyond). Fix indexes new phone_norm field; hot paths become exact-match lookups. Bootstrap includes idempotent backfill for existing users.</t>
        </is>
      </c>
      <c r="F17" s="22" t="inlineStr">
        <is>
          <t>services/phone.py (new); server.py bootstrap + 3 hot paths; routers/auth.py; routers/team.py</t>
        </is>
      </c>
      <c r="G17" s="22" t="inlineStr">
        <is>
          <t>tests/test_phone_indexed_lookup.py — 16 tests (parity, query shape, no-cap guard)</t>
        </is>
      </c>
      <c r="H17" s="101" t="inlineStr">
        <is>
          <t>Done</t>
        </is>
      </c>
      <c r="I17" s="36" t="inlineStr">
        <is>
          <t>P0</t>
        </is>
      </c>
      <c r="J17" s="103" t="inlineStr">
        <is>
          <t>2026-08-09</t>
        </is>
      </c>
      <c r="K17" s="103" t="inlineStr">
        <is>
          <t>2026-08-09</t>
        </is>
      </c>
      <c r="L17" s="103" t="inlineStr">
        <is>
          <t>e21a9b3</t>
        </is>
      </c>
      <c r="M17" s="22" t="inlineStr">
        <is>
          <t>Existing OTP hashes still verify (parity-tested). server.py:4623 (per-tenant scan) noted but out of scope.</t>
        </is>
      </c>
    </row>
    <row r="18" ht="105" customHeight="1">
      <c r="A18" s="103" t="inlineStr">
        <is>
          <t>FIX-002-B</t>
        </is>
      </c>
      <c r="B18" s="103" t="inlineStr">
        <is>
          <t>Sprint 1 / Scale &amp; Ops</t>
        </is>
      </c>
      <c r="C18" s="103" t="inlineStr">
        <is>
          <t>S1-05</t>
        </is>
      </c>
      <c r="D18" s="22" t="inlineStr">
        <is>
          <t>LLM call timeouts + concurrency semaphore</t>
        </is>
      </c>
      <c r="E18" s="22" t="inlineStr">
        <is>
          <t>One shared Anthropic key + no timeout + no concurrency cap = 50 concurrent voice captures cascade into 429s and unbounded latency. New services/llm_limits.py::guarded_llm wraps every LLM call with asyncio.wait_for + shared semaphore. Covers _ResilientChat + 4 direct LlmChat sites.</t>
        </is>
      </c>
      <c r="F18" s="22" t="inlineStr">
        <is>
          <t>services/llm_limits.py (new); core.py::_ResilientChat; server.py (2 Gemini); routers/admin.py; routers/ledger.py</t>
        </is>
      </c>
      <c r="G18" s="22" t="inlineStr">
        <is>
          <t>tests/test_llm_limits.py — 14 tests (peak-concurrency, timeout-releases-slot, exception-releases-slot)</t>
        </is>
      </c>
      <c r="H18" s="101" t="inlineStr">
        <is>
          <t>Done</t>
        </is>
      </c>
      <c r="I18" s="38" t="inlineStr">
        <is>
          <t>P1</t>
        </is>
      </c>
      <c r="J18" s="103" t="inlineStr">
        <is>
          <t>2026-08-09</t>
        </is>
      </c>
      <c r="K18" s="103" t="inlineStr">
        <is>
          <t>2026-08-09</t>
        </is>
      </c>
      <c r="L18" s="103" t="inlineStr">
        <is>
          <t>6b6fc25</t>
        </is>
      </c>
      <c r="M18" s="22" t="inlineStr">
        <is>
          <t>Per-process only. Cross-process rate limiting needs Redis (Sprint 3 with per-tenant keys). STT paths (Whisper/Sarvam) NOT wrapped - separate follow-up.</t>
        </is>
      </c>
    </row>
    <row r="19" ht="105" customHeight="1">
      <c r="A19" s="103" t="inlineStr">
        <is>
          <t>FIX-002-C</t>
        </is>
      </c>
      <c r="B19" s="103" t="inlineStr">
        <is>
          <t>Sprint 1 / Scale &amp; Ops</t>
        </is>
      </c>
      <c r="C19" s="103" t="inlineStr">
        <is>
          <t>(new: raised during Q&amp;A)</t>
        </is>
      </c>
      <c r="D19" s="22" t="inlineStr">
        <is>
          <t>Migration ledger for MongoDB schema changes</t>
        </is>
      </c>
      <c r="E19" s="22" t="inlineStr">
        <is>
          <t>Ad-hoc bootstrap migrations are fine for additive changes (new fields, new indexes, safe backfills) but unsafe the moment we ship a destructive migration (rename+copy+delete, data reshape). Add db.migrations_applied collection + a migrate(name, fn) helper so migrations run exactly once and non-idempotent changes are safe.</t>
        </is>
      </c>
      <c r="F19" s="22" t="inlineStr">
        <is>
          <t>services/migrations.py (new); server.py bootstrap block</t>
        </is>
      </c>
      <c r="G19" s="22" t="inlineStr">
        <is>
          <t>tests/test_migrations.py — helper contract + idempotency</t>
        </is>
      </c>
      <c r="H19" s="101" t="inlineStr">
        <is>
          <t>Done</t>
        </is>
      </c>
      <c r="I19" s="38" t="inlineStr">
        <is>
          <t>P1</t>
        </is>
      </c>
      <c r="J19" s="103" t="inlineStr">
        <is>
          <t>2026-08-09</t>
        </is>
      </c>
      <c r="K19" s="103" t="inlineStr">
        <is>
          <t>2026-08-09</t>
        </is>
      </c>
      <c r="L19" s="103" t="inlineStr">
        <is>
          <t>(this commit)</t>
        </is>
      </c>
      <c r="M19" s="22" t="inlineStr">
        <is>
          <t>Prerequisite for S1-03 (uploads migration). MongoDB doesn't need Alembic (no DDL) but does need this ledger discipline.</t>
        </is>
      </c>
    </row>
    <row r="20" ht="105" customHeight="1">
      <c r="A20" s="103" t="inlineStr">
        <is>
          <t>FIX-002-D</t>
        </is>
      </c>
      <c r="B20" s="103" t="inlineStr">
        <is>
          <t>Sprint 1 / Scale &amp; Ops</t>
        </is>
      </c>
      <c r="C20" s="103" t="inlineStr">
        <is>
          <t>S1-01</t>
        </is>
      </c>
      <c r="D20" s="22" t="inlineStr">
        <is>
          <t>Externalize the follow-up scheduler (multi-replica safe)</t>
        </is>
      </c>
      <c r="E20" s="22" t="inlineStr">
        <is>
          <t>In-process 300s loop triple-fires with 3 replicas (duplicate emails/alerts), dies with 1. Options: (a) external cron + endpoint (b) in-process with distributed leader election. Design decision needed.</t>
        </is>
      </c>
      <c r="F20" s="22" t="inlineStr">
        <is>
          <t>server.py:2765 (scheduler loop); new endpoint or external cron config</t>
        </is>
      </c>
      <c r="G20" s="22" t="inlineStr">
        <is>
          <t>tests: single-fire under multiple simulated replicas</t>
        </is>
      </c>
      <c r="H20" s="101" t="inlineStr">
        <is>
          <t>Done</t>
        </is>
      </c>
      <c r="I20" s="36" t="inlineStr">
        <is>
          <t>P0</t>
        </is>
      </c>
      <c r="J20" s="103" t="inlineStr">
        <is>
          <t>2026-08-09</t>
        </is>
      </c>
      <c r="K20" s="103" t="inlineStr">
        <is>
          <t>2026-08-09</t>
        </is>
      </c>
      <c r="L20" s="103" t="inlineStr">
        <is>
          <t>(this commit)</t>
        </is>
      </c>
      <c r="M20" s="22" t="inlineStr">
        <is>
          <t>Half-day fix. Requires design decision on external cron vs leader election.</t>
        </is>
      </c>
    </row>
    <row r="21" ht="105" customHeight="1">
      <c r="A21" s="103" t="inlineStr">
        <is>
          <t>FIX-002-E</t>
        </is>
      </c>
      <c r="B21" s="103" t="inlineStr">
        <is>
          <t>Sprint 1 / Scale &amp; Ops</t>
        </is>
      </c>
      <c r="C21" s="103" t="inlineStr">
        <is>
          <t>S1-03</t>
        </is>
      </c>
      <c r="D21" s="22" t="inlineStr">
        <is>
          <t>Migrate all uploads to obj_store (kill local-disk file storage)</t>
        </is>
      </c>
      <c r="E21" s="22" t="inlineStr">
        <is>
          <t>Voice notes, meetings, ledger uploads write to local UPLOAD_DIR — lost on restart, invisible across replicas. Route everything through obj_store with tenant-prefixed paths; delete local /api/files path. Includes migration for existing local-disk records.</t>
        </is>
      </c>
      <c r="F21" s="22" t="inlineStr">
        <is>
          <t>server.py:1739,1902,3032; ledger.py:146; obj_store integration in all 3 paths</t>
        </is>
      </c>
      <c r="G21" s="22" t="inlineStr">
        <is>
          <t>tests: upload, download, cross-replica visibility, deletion</t>
        </is>
      </c>
      <c r="H21" s="101" t="inlineStr">
        <is>
          <t>Done</t>
        </is>
      </c>
      <c r="I21" s="36" t="inlineStr">
        <is>
          <t>P0</t>
        </is>
      </c>
      <c r="J21" s="103" t="inlineStr">
        <is>
          <t>2026-08-09</t>
        </is>
      </c>
      <c r="K21" s="103" t="inlineStr">
        <is>
          <t>2026-08-09</t>
        </is>
      </c>
      <c r="L21" s="103" t="inlineStr">
        <is>
          <t>(this commit)</t>
        </is>
      </c>
      <c r="M21" s="22" t="inlineStr">
        <is>
          <t>Half-day. Depends on FIX-002-C for the migration. Also closes FIX-001-E EC8 (legacy local files for tenant deletion).</t>
        </is>
      </c>
    </row>
    <row r="22" ht="105" customHeight="1">
      <c r="A22" s="103" t="inlineStr">
        <is>
          <t>FIX-002-F</t>
        </is>
      </c>
      <c r="B22" s="103" t="inlineStr">
        <is>
          <t>Sprint 1 / Scale &amp; Ops</t>
        </is>
      </c>
      <c r="C22" s="103" t="inlineStr">
        <is>
          <t>S1-04</t>
        </is>
      </c>
      <c r="D22" s="22" t="inlineStr">
        <is>
          <t>Commit real Dockerfile + Procfile with pinned worker count + graceful shutdown</t>
        </is>
      </c>
      <c r="E22" s="22" t="inlineStr">
        <is>
          <t>No Dockerfile exists (only .emergent/emergent.yml base-image pointer). Need a real deployable Dockerfile with worker count pinned, graceful shutdown for in-flight LLM work, request-size caps.</t>
        </is>
      </c>
      <c r="F22" s="22" t="inlineStr">
        <is>
          <t>backend/Dockerfile (new); backend/Procfile (new); backend/.dockerignore (new)</t>
        </is>
      </c>
      <c r="G22" s="22" t="inlineStr">
        <is>
          <t>tests/test_dockerfile.py - 25 static contract tests (multi-stage, non-root, healthcheck, secrets, apt cleanup, Procfile parity)</t>
        </is>
      </c>
      <c r="H22" s="104" t="inlineStr">
        <is>
          <t>Done</t>
        </is>
      </c>
      <c r="I22" s="36" t="inlineStr">
        <is>
          <t>P0</t>
        </is>
      </c>
      <c r="J22" s="103" t="inlineStr">
        <is>
          <t>2026-08-09</t>
        </is>
      </c>
      <c r="K22" s="103" t="inlineStr">
        <is>
          <t>2026-08-09</t>
        </is>
      </c>
      <c r="L22" s="103" t="inlineStr">
        <is>
          <t>5a4644e</t>
        </is>
      </c>
      <c r="M22" s="22" t="inlineStr">
        <is>
          <t>Multi-stage Python 3.12-slim build. Non-root user, HEALTHCHECK via Python stdlib on /api/health, tini as PID 1, --timeout-graceful-shutdown 60 (&gt; 45s LLM cap from FIX-002-B). emergentintegrations installed from Emergent's CDN (regression guard: without extra-index-url, requirements install silently drops that package). Docker build not exercised in tests - daemon unavailable in this env; static tests cover structure + security. FIX-FUP-15 logged to wire docker build into CI. SPRINT 1 COMPLETE with this ship.</t>
        </is>
      </c>
    </row>
    <row r="23" ht="105" customHeight="1">
      <c r="A23" s="103" t="inlineStr">
        <is>
          <t>FIX-FUP-01</t>
        </is>
      </c>
      <c r="B23" s="103" t="inlineStr">
        <is>
          <t>Follow-up (from FIX-001-A)</t>
        </is>
      </c>
      <c r="C23" s="103" t="inlineStr">
        <is>
          <t>(logged during A)</t>
        </is>
      </c>
      <c r="D23" s="22" t="inlineStr">
        <is>
          <t>Delete WORKFLOW_OWNER_ROLE dead code</t>
        </is>
      </c>
      <c r="E23" s="22" t="inlineStr">
        <is>
          <t>server.py:212 defines WORKFLOW_OWNER_ROLE dict - nothing references it.</t>
        </is>
      </c>
      <c r="F23" s="22" t="inlineStr">
        <is>
          <t>server.py:212</t>
        </is>
      </c>
      <c r="G23" s="22" t="inlineStr">
        <is>
          <t>test: import check + grep for zero refs</t>
        </is>
      </c>
      <c r="H23" s="37" t="inlineStr">
        <is>
          <t>Not Started</t>
        </is>
      </c>
      <c r="I23" s="42" t="inlineStr">
        <is>
          <t>P2</t>
        </is>
      </c>
      <c r="J23" s="103" t="inlineStr"/>
      <c r="K23" s="103" t="inlineStr"/>
      <c r="L23" s="103" t="inlineStr"/>
      <c r="M23" s="22" t="inlineStr">
        <is>
          <t>Dead code cleanup.</t>
        </is>
      </c>
    </row>
    <row r="24" ht="105" customHeight="1">
      <c r="A24" s="103" t="inlineStr">
        <is>
          <t>FIX-FUP-02</t>
        </is>
      </c>
      <c r="B24" s="103" t="inlineStr">
        <is>
          <t>Follow-up (from FIX-001-A)</t>
        </is>
      </c>
      <c r="C24" s="103" t="inlineStr">
        <is>
          <t>(logged during A)</t>
        </is>
      </c>
      <c r="D24" s="22" t="inlineStr">
        <is>
          <t>Clean 'purchase_payment' from AI onboarding prompt</t>
        </is>
      </c>
      <c r="E24" s="22" t="inlineStr">
        <is>
          <t>server.py:1094,1103 - operating-model AI prompt uses 'purchase_payment' as an example. Could bias AI toward textile key.</t>
        </is>
      </c>
      <c r="F24" s="22" t="inlineStr">
        <is>
          <t>server.py:1094, 1103</t>
        </is>
      </c>
      <c r="G24" s="22" t="inlineStr">
        <is>
          <t>test: onboard non-textile tenant, assert no 'purchase_payment' in operating_model</t>
        </is>
      </c>
      <c r="H24" s="37" t="inlineStr">
        <is>
          <t>Not Started</t>
        </is>
      </c>
      <c r="I24" s="42" t="inlineStr">
        <is>
          <t>P2</t>
        </is>
      </c>
      <c r="J24" s="103" t="inlineStr"/>
      <c r="K24" s="103" t="inlineStr"/>
      <c r="L24" s="103" t="inlineStr"/>
      <c r="M24" s="22" t="inlineStr">
        <is>
          <t>Prevents textile leak from re-emerging via the prompt.</t>
        </is>
      </c>
    </row>
    <row r="25" ht="105" customHeight="1">
      <c r="A25" s="103" t="inlineStr">
        <is>
          <t>FIX-FUP-03</t>
        </is>
      </c>
      <c r="B25" s="103" t="inlineStr">
        <is>
          <t>Follow-up (from FIX-001-A)</t>
        </is>
      </c>
      <c r="C25" s="103" t="inlineStr">
        <is>
          <t>(logged during A)</t>
        </is>
      </c>
      <c r="D25" s="22" t="inlineStr">
        <is>
          <t>Memoize tenant_procurement_pipeline in brief.py</t>
        </is>
      </c>
      <c r="E25" s="22" t="inlineStr">
        <is>
          <t>Called TWICE per brief request (counter + drill-down). Minor inefficiency.</t>
        </is>
      </c>
      <c r="F25" s="22" t="inlineStr">
        <is>
          <t>routers/brief.py</t>
        </is>
      </c>
      <c r="G25" s="22" t="inlineStr">
        <is>
          <t>test: mock tenant_operating_model, assert called once</t>
        </is>
      </c>
      <c r="H25" s="37" t="inlineStr">
        <is>
          <t>Not Started</t>
        </is>
      </c>
      <c r="I25" s="42" t="inlineStr">
        <is>
          <t>P2</t>
        </is>
      </c>
      <c r="J25" s="103" t="inlineStr"/>
      <c r="K25" s="103" t="inlineStr"/>
      <c r="L25" s="103" t="inlineStr"/>
      <c r="M25" s="22" t="inlineStr">
        <is>
          <t>Small perf tidy.</t>
        </is>
      </c>
    </row>
    <row r="26" ht="105" customHeight="1">
      <c r="A26" s="103" t="inlineStr">
        <is>
          <t>FIX-FUP-04</t>
        </is>
      </c>
      <c r="B26" s="103" t="inlineStr">
        <is>
          <t>Follow-up (from FIX-001-B)</t>
        </is>
      </c>
      <c r="C26" s="103" t="inlineStr">
        <is>
          <t>(logged during B)</t>
        </is>
      </c>
      <c r="D26" s="22" t="inlineStr">
        <is>
          <t>Unique index on expenses.(tenant_id, workflow_id)</t>
        </is>
      </c>
      <c r="E26" s="22" t="inlineStr">
        <is>
          <t>Check + insert is not atomic. Rare race could double-create. Close with unique compound index.</t>
        </is>
      </c>
      <c r="F26" s="22" t="inlineStr">
        <is>
          <t>server.py bootstrap</t>
        </is>
      </c>
      <c r="G26" s="22" t="inlineStr">
        <is>
          <t>test: concurrent create_expense with same workflow_id</t>
        </is>
      </c>
      <c r="H26" s="37" t="inlineStr">
        <is>
          <t>Not Started</t>
        </is>
      </c>
      <c r="I26" s="42" t="inlineStr">
        <is>
          <t>P2</t>
        </is>
      </c>
      <c r="J26" s="103" t="inlineStr"/>
      <c r="K26" s="103" t="inlineStr"/>
      <c r="L26" s="103" t="inlineStr"/>
      <c r="M26" s="22" t="inlineStr">
        <is>
          <t>Belt-and-braces for FIX-001-B idempotency.</t>
        </is>
      </c>
    </row>
    <row r="27" ht="105" customHeight="1">
      <c r="A27" s="103" t="inlineStr">
        <is>
          <t>FIX-FUP-05</t>
        </is>
      </c>
      <c r="B27" s="103" t="inlineStr">
        <is>
          <t>Follow-up (from FIX-001-B)</t>
        </is>
      </c>
      <c r="C27" s="103" t="inlineStr">
        <is>
          <t>(logged during B)</t>
        </is>
      </c>
      <c r="D27" s="22" t="inlineStr">
        <is>
          <t>Bill upload -&gt; OCR promotion flow (Finance side)</t>
        </is>
      </c>
      <c r="E27" s="22" t="inlineStr">
        <is>
          <t>Complete the story: Finance uploads bill, OCR extracts real amount, expense flips from awaiting_bill to reconciled.</t>
        </is>
      </c>
      <c r="F27" s="22" t="inlineStr">
        <is>
          <t>routers/ledger.py + existing OCR pipeline</t>
        </is>
      </c>
      <c r="G27" s="22" t="inlineStr">
        <is>
          <t>test: mock OCR + upload + status transition</t>
        </is>
      </c>
      <c r="H27" s="37" t="inlineStr">
        <is>
          <t>Not Started</t>
        </is>
      </c>
      <c r="I27" s="38" t="inlineStr">
        <is>
          <t>P1</t>
        </is>
      </c>
      <c r="J27" s="103" t="inlineStr"/>
      <c r="K27" s="103" t="inlineStr"/>
      <c r="L27" s="103" t="inlineStr"/>
      <c r="M27" s="22" t="inlineStr">
        <is>
          <t>One-click reconciliation finish for FIX-001-B.</t>
        </is>
      </c>
    </row>
    <row r="28" ht="105" customHeight="1">
      <c r="A28" s="103" t="inlineStr">
        <is>
          <t>FIX-FUP-06</t>
        </is>
      </c>
      <c r="B28" s="103" t="inlineStr">
        <is>
          <t>Follow-up (from FIX-001-C)</t>
        </is>
      </c>
      <c r="C28" s="103" t="inlineStr">
        <is>
          <t>(logged during C)</t>
        </is>
      </c>
      <c r="D28" s="22" t="inlineStr">
        <is>
          <t>'id' footgun in tenant_filter</t>
        </is>
      </c>
      <c r="E28" s="22" t="inlineStr">
        <is>
          <t>Extras can overwrite id (though tenant scope still holds). Documented in tests; stricter version would reject.</t>
        </is>
      </c>
      <c r="F28" s="22" t="inlineStr">
        <is>
          <t>services/tenancy.py</t>
        </is>
      </c>
      <c r="G28" s="22" t="inlineStr">
        <is>
          <t>test already documents</t>
        </is>
      </c>
      <c r="H28" s="37" t="inlineStr">
        <is>
          <t>Not Started</t>
        </is>
      </c>
      <c r="I28" s="42" t="inlineStr">
        <is>
          <t>P2</t>
        </is>
      </c>
      <c r="J28" s="103" t="inlineStr"/>
      <c r="K28" s="103" t="inlineStr"/>
      <c r="L28" s="103" t="inlineStr"/>
      <c r="M28" s="22" t="inlineStr">
        <is>
          <t>Cosmetic hardening.</t>
        </is>
      </c>
    </row>
    <row r="29" ht="105" customHeight="1">
      <c r="A29" s="103" t="inlineStr">
        <is>
          <t>FIX-FUP-07</t>
        </is>
      </c>
      <c r="B29" s="103" t="inlineStr">
        <is>
          <t>Follow-up (from FIX-001-D)</t>
        </is>
      </c>
      <c r="C29" s="103" t="inlineStr">
        <is>
          <t>(logged during D)</t>
        </is>
      </c>
      <c r="D29" s="22" t="inlineStr">
        <is>
          <t>TTL index on onboarding_drafts</t>
        </is>
      </c>
      <c r="E29" s="22" t="inlineStr">
        <is>
          <t>Auto-expire ~30 days after last update. Bootstrap: create_index('updated_at', expireAfterSeconds=30*86400).</t>
        </is>
      </c>
      <c r="F29" s="22" t="inlineStr">
        <is>
          <t>server.py bootstrap</t>
        </is>
      </c>
      <c r="G29" s="22" t="inlineStr">
        <is>
          <t>test: verify index exists</t>
        </is>
      </c>
      <c r="H29" s="37" t="inlineStr">
        <is>
          <t>Not Started</t>
        </is>
      </c>
      <c r="I29" s="42" t="inlineStr">
        <is>
          <t>P2</t>
        </is>
      </c>
      <c r="J29" s="103" t="inlineStr"/>
      <c r="K29" s="103" t="inlineStr"/>
      <c r="L29" s="103" t="inlineStr"/>
      <c r="M29" s="22" t="inlineStr">
        <is>
          <t>Small bootstrap tweak.</t>
        </is>
      </c>
    </row>
    <row r="30" ht="105" customHeight="1">
      <c r="A30" s="103" t="inlineStr">
        <is>
          <t>FIX-FUP-08</t>
        </is>
      </c>
      <c r="B30" s="103" t="inlineStr">
        <is>
          <t>Follow-up (from FIX-001-D)</t>
        </is>
      </c>
      <c r="C30" s="103" t="inlineStr">
        <is>
          <t>(logged during D)</t>
        </is>
      </c>
      <c r="D30" s="22" t="inlineStr">
        <is>
          <t>Idempotent register by draft_id (Comprehensive-scope 3e)</t>
        </is>
      </c>
      <c r="E30" s="22" t="inlineStr">
        <is>
          <t>Network drop mid-register -&gt; user retries -&gt; 'Email already registered' 400. Fix: if draft completed with tenant_id, return existing session on retry.</t>
        </is>
      </c>
      <c r="F30" s="22" t="inlineStr">
        <is>
          <t>routers/auth.py::register</t>
        </is>
      </c>
      <c r="G30" s="22" t="inlineStr">
        <is>
          <t>test: register with draft_id twice, second returns existing tenant</t>
        </is>
      </c>
      <c r="H30" s="37" t="inlineStr">
        <is>
          <t>Not Started</t>
        </is>
      </c>
      <c r="I30" s="38" t="inlineStr">
        <is>
          <t>P1</t>
        </is>
      </c>
      <c r="J30" s="103" t="inlineStr"/>
      <c r="K30" s="103" t="inlineStr"/>
      <c r="L30" s="103" t="inlineStr"/>
      <c r="M30" s="22" t="inlineStr">
        <is>
          <t>Closes the last onboarding-flow paper cut.</t>
        </is>
      </c>
    </row>
    <row r="31" ht="105" customHeight="1">
      <c r="A31" s="103" t="inlineStr">
        <is>
          <t>FIX-FUP-09</t>
        </is>
      </c>
      <c r="B31" s="103" t="inlineStr">
        <is>
          <t>Follow-up (from FIX-001-F)</t>
        </is>
      </c>
      <c r="C31" s="103" t="inlineStr">
        <is>
          <t>(logged during F)</t>
        </is>
      </c>
      <c r="D31" s="22" t="inlineStr">
        <is>
          <t>tenant_sales_pipeline resolver (mirror of procurement)</t>
        </is>
      </c>
      <c r="E31" s="22" t="inlineStr">
        <is>
          <t>Calendar deliveries hardcodes pipeline TYPES ['distribution','sales_dispatch']. Add resolver like tenant_procurement_pipeline.</t>
        </is>
      </c>
      <c r="F31" s="22" t="inlineStr">
        <is>
          <t>services/workflows.py; calendar endpoint</t>
        </is>
      </c>
      <c r="G31" s="22" t="inlineStr">
        <is>
          <t>tests: bakery order_fulfilment shows in calendar deliveries</t>
        </is>
      </c>
      <c r="H31" s="37" t="inlineStr">
        <is>
          <t>Not Started</t>
        </is>
      </c>
      <c r="I31" s="42" t="inlineStr">
        <is>
          <t>P2</t>
        </is>
      </c>
      <c r="J31" s="103" t="inlineStr"/>
      <c r="K31" s="103" t="inlineStr"/>
      <c r="L31" s="103" t="inlineStr"/>
      <c r="M31" s="22" t="inlineStr">
        <is>
          <t>Extends FIX-001-A pattern to sales side.</t>
        </is>
      </c>
    </row>
    <row r="32" ht="105" customHeight="1">
      <c r="A32" s="103" t="inlineStr">
        <is>
          <t>FIX-FUP-10</t>
        </is>
      </c>
      <c r="B32" s="103" t="inlineStr">
        <is>
          <t>Follow-up (from FIX-002-A)</t>
        </is>
      </c>
      <c r="C32" s="103" t="inlineStr">
        <is>
          <t>(logged during 002-A)</t>
        </is>
      </c>
      <c r="D32" s="22" t="inlineStr">
        <is>
          <t>phone_norm on WhatsApp review UI + contact lookups</t>
        </is>
      </c>
      <c r="E32" s="22" t="inlineStr">
        <is>
          <t>server.py:4623 builds a phone_index for the WA review UI via Python-side normalization. Tenant-scoped (not a P0 like the global hot paths) but same pattern.</t>
        </is>
      </c>
      <c r="F32" s="22" t="inlineStr">
        <is>
          <t>server.py:4623 area</t>
        </is>
      </c>
      <c r="G32" s="22" t="inlineStr">
        <is>
          <t>test: query uses phone_norm</t>
        </is>
      </c>
      <c r="H32" s="37" t="inlineStr">
        <is>
          <t>Not Started</t>
        </is>
      </c>
      <c r="I32" s="42" t="inlineStr">
        <is>
          <t>P2</t>
        </is>
      </c>
      <c r="J32" s="103" t="inlineStr"/>
      <c r="K32" s="103" t="inlineStr"/>
      <c r="L32" s="103" t="inlineStr"/>
      <c r="M32" s="22" t="inlineStr">
        <is>
          <t>Consistency win, not a P0.</t>
        </is>
      </c>
    </row>
    <row r="33" ht="105" customHeight="1">
      <c r="A33" s="103" t="inlineStr">
        <is>
          <t>FIX-FUP-11</t>
        </is>
      </c>
      <c r="B33" s="103" t="inlineStr">
        <is>
          <t>Follow-up (from FIX-002-B)</t>
        </is>
      </c>
      <c r="C33" s="103" t="inlineStr">
        <is>
          <t>(logged during 002-B)</t>
        </is>
      </c>
      <c r="D33" s="22" t="inlineStr">
        <is>
          <t>Guard STT (Whisper/Sarvam) paths with llm_limits</t>
        </is>
      </c>
      <c r="E33" s="22" t="inlineStr">
        <is>
          <t>The FIX-002-B semaphore/timeout covers LlmChat paths. STT goes through OpenAISpeechToText and Sarvam wrappers separately - not yet guarded.</t>
        </is>
      </c>
      <c r="F33" s="22" t="inlineStr">
        <is>
          <t>server.py transcribe_audio_full and Sarvam wrapper</t>
        </is>
      </c>
      <c r="G33" s="22" t="inlineStr">
        <is>
          <t>test: mock STT, assert guarded_llm called</t>
        </is>
      </c>
      <c r="H33" s="37" t="inlineStr">
        <is>
          <t>Not Started</t>
        </is>
      </c>
      <c r="I33" s="42" t="inlineStr">
        <is>
          <t>P2</t>
        </is>
      </c>
      <c r="J33" s="103" t="inlineStr"/>
      <c r="K33" s="103" t="inlineStr"/>
      <c r="L33" s="103" t="inlineStr"/>
      <c r="M33" s="22" t="inlineStr">
        <is>
          <t>~1 hour when someone hits an STT rate limit.</t>
        </is>
      </c>
    </row>
    <row r="34" ht="105" customHeight="1">
      <c r="A34" s="103" t="inlineStr">
        <is>
          <t>FIX-FUP-12</t>
        </is>
      </c>
      <c r="B34" s="103" t="inlineStr">
        <is>
          <t>Follow-up (from FIX-002-B)</t>
        </is>
      </c>
      <c r="C34" s="103" t="inlineStr">
        <is>
          <t>(logged during 002-B)</t>
        </is>
      </c>
      <c r="D34" s="22" t="inlineStr">
        <is>
          <t>Cross-process LLM rate limiting (Redis-backed)</t>
        </is>
      </c>
      <c r="E34" s="22" t="inlineStr">
        <is>
          <t>Semaphore is per-process. With multiple uvicorn workers, total in-flight = workers x cap. Ties to Sprint 3 (per-tenant AI keys) so per-tenant caps become meaningful.</t>
        </is>
      </c>
      <c r="F34" s="22" t="inlineStr">
        <is>
          <t>new services/llm_limits.py extension + Redis</t>
        </is>
      </c>
      <c r="G34" s="22" t="inlineStr">
        <is>
          <t>test: distributed semaphore behavior</t>
        </is>
      </c>
      <c r="H34" s="37" t="inlineStr">
        <is>
          <t>Not Started</t>
        </is>
      </c>
      <c r="I34" s="38" t="inlineStr">
        <is>
          <t>P1</t>
        </is>
      </c>
      <c r="J34" s="103" t="inlineStr"/>
      <c r="K34" s="103" t="inlineStr"/>
      <c r="L34" s="103" t="inlineStr"/>
      <c r="M34" s="22" t="inlineStr">
        <is>
          <t>Sprint 3 territory.</t>
        </is>
      </c>
    </row>
    <row r="35">
      <c r="A35" t="inlineStr">
        <is>
          <t>FIX-FUP-13</t>
        </is>
      </c>
      <c r="B35" t="inlineStr">
        <is>
          <t>Follow-up (from FIX-002-F)</t>
        </is>
      </c>
      <c r="C35" t="inlineStr">
        <is>
          <t>(logged during 002-F local run)</t>
        </is>
      </c>
      <c r="D35" t="inlineStr">
        <is>
          <t>Frontend install hardening: legacy-peer-deps</t>
        </is>
      </c>
      <c r="E35" t="inlineStr">
        <is>
          <t>npm install silently exited 0 with 0 packages because react-day-picker@8 peer-requires date-fns@^2||^3 but this project uses date-fns@4. Added frontend/.npmrc with legacy-peer-deps=true so every dev + CI `npm install` runs without needing --legacy-peer-deps flag.</t>
        </is>
      </c>
      <c r="F35" t="inlineStr">
        <is>
          <t>frontend/.npmrc (new)</t>
        </is>
      </c>
      <c r="G35" t="inlineStr">
        <is>
          <t>manual: npm install now completes (was silent 0-package exit)</t>
        </is>
      </c>
      <c r="H35" s="106" t="inlineStr">
        <is>
          <t>Done</t>
        </is>
      </c>
      <c r="I35" t="inlineStr">
        <is>
          <t>P0</t>
        </is>
      </c>
      <c r="J35" t="inlineStr">
        <is>
          <t>2026-08-09</t>
        </is>
      </c>
      <c r="K35" t="inlineStr">
        <is>
          <t>2026-08-09</t>
        </is>
      </c>
      <c r="L35" t="inlineStr">
        <is>
          <t>5a4644e</t>
        </is>
      </c>
      <c r="M35" t="inlineStr">
        <is>
          <t>The trap that blocked our first local frontend boot. Locked in as .npmrc so it doesn't happen again.</t>
        </is>
      </c>
    </row>
    <row r="36">
      <c r="A36" t="inlineStr">
        <is>
          <t>FIX-FUP-14</t>
        </is>
      </c>
      <c r="B36" t="inlineStr">
        <is>
          <t>Follow-up (from FIX-002-F)</t>
        </is>
      </c>
      <c r="C36" t="inlineStr">
        <is>
          <t>(logged during 002-F local run)</t>
        </is>
      </c>
      <c r="D36" t="inlineStr">
        <is>
          <t>Pin ajv@^8.20.0 across the tree (webpack crash fix)</t>
        </is>
      </c>
      <c r="E36" t="inlineStr">
        <is>
          <t>ajv-keywords@5 needs `ajv/dist/compile/codegen` (ajv v8), but a nested dep resolved ajv@6, causing webpack to crash on start with `Cannot find module ajv/dist/compile/codegen`. Added overrides.ajv (npm) + resolutions.ajv (yarn) both set to ^8.20.0 to force v8 across the dep tree.</t>
        </is>
      </c>
      <c r="F36" t="inlineStr">
        <is>
          <t>frontend/package.json (overrides + resolutions blocks)</t>
        </is>
      </c>
      <c r="G36" t="inlineStr">
        <is>
          <t>manual: npm ls ajv shows ajv@8.20.0 at root + ajv-keywords@5.1.0 -&gt; ajv@8 deduped</t>
        </is>
      </c>
      <c r="H36" s="106" t="inlineStr">
        <is>
          <t>Done</t>
        </is>
      </c>
      <c r="I36" t="inlineStr">
        <is>
          <t>P0</t>
        </is>
      </c>
      <c r="J36" t="inlineStr">
        <is>
          <t>2026-08-09</t>
        </is>
      </c>
      <c r="K36" t="inlineStr">
        <is>
          <t>2026-08-09</t>
        </is>
      </c>
      <c r="L36" t="inlineStr">
        <is>
          <t>5a4644e</t>
        </is>
      </c>
      <c r="M36" t="inlineStr">
        <is>
          <t>Value must match the direct dep pinning exactly (^8.20.0) or npm throws EOVERRIDE. Learned that mid-fix.</t>
        </is>
      </c>
    </row>
    <row r="37">
      <c r="A37" s="57" t="inlineStr">
        <is>
          <t>Status legend:</t>
        </is>
      </c>
    </row>
    <row r="38">
      <c r="A38" s="37" t="inlineStr">
        <is>
          <t>Not Started</t>
        </is>
      </c>
      <c r="B38" s="97" t="inlineStr">
        <is>
          <t>In backlog, no work yet</t>
        </is>
      </c>
    </row>
    <row r="39">
      <c r="A39" s="98" t="inlineStr">
        <is>
          <t>Planning</t>
        </is>
      </c>
      <c r="B39" s="97" t="inlineStr">
        <is>
          <t>Reading code, scoping the fix, drafting approach</t>
        </is>
      </c>
    </row>
    <row r="40">
      <c r="A40" s="99" t="inlineStr">
        <is>
          <t>In Progress</t>
        </is>
      </c>
      <c r="B40" s="97" t="inlineStr">
        <is>
          <t>Writing the fix</t>
        </is>
      </c>
    </row>
    <row r="41">
      <c r="A41" s="38" t="inlineStr">
        <is>
          <t>Code Review</t>
        </is>
      </c>
      <c r="B41" s="97" t="inlineStr">
        <is>
          <t>Fix written, awaiting review / self-review</t>
        </is>
      </c>
    </row>
    <row r="42">
      <c r="A42" s="100" t="inlineStr">
        <is>
          <t>Testing</t>
        </is>
      </c>
      <c r="B42" s="97" t="inlineStr">
        <is>
          <t>Tests running</t>
        </is>
      </c>
    </row>
    <row r="43">
      <c r="A43" s="101" t="inlineStr">
        <is>
          <t>Done</t>
        </is>
      </c>
      <c r="B43" s="97" t="inlineStr">
        <is>
          <t>Merged + tests green + verified</t>
        </is>
      </c>
    </row>
    <row r="44">
      <c r="A44" s="36" t="inlineStr">
        <is>
          <t>Blocked</t>
        </is>
      </c>
      <c r="B44" s="97" t="inlineStr">
        <is>
          <t>Waiting on external dependency or decision</t>
        </is>
      </c>
    </row>
    <row r="45">
      <c r="A45" s="36" t="inlineStr">
        <is>
          <t>Rolled Back</t>
        </is>
      </c>
      <c r="B45" s="97" t="inlineStr">
        <is>
          <t>Shipped, broke something, reverted (record, don't hide)</t>
        </is>
      </c>
    </row>
    <row r="46">
      <c r="A46" s="107" t="inlineStr">
        <is>
          <t>FIX-FUP-15</t>
        </is>
      </c>
      <c r="B46" s="107" t="inlineStr">
        <is>
          <t>Follow-up (from FIX-002-F)</t>
        </is>
      </c>
      <c r="C46" s="107" t="inlineStr">
        <is>
          <t>(logged during 002-F QA)</t>
        </is>
      </c>
      <c r="D46" s="107" t="inlineStr">
        <is>
          <t>Wire `docker build` into CI (real container smoke test)</t>
        </is>
      </c>
      <c r="E46" s="107" t="inlineStr">
        <is>
          <t>FIX-002-F ships 25 static contract tests on the Dockerfile because Docker daemon isn't available in this test environment. That's fine as a first line of defense but doesn't catch runtime failures (missing apt package, wheel install failing, base-image tag drift). Once CI is stood up (S5-06), a job should build the image, run `docker run --rm ... /api/health`, and gate merges on it.</t>
        </is>
      </c>
      <c r="F46" s="107" t="inlineStr">
        <is>
          <t>(CI config; new; blocked on S5-06 CI/CD setup)</t>
        </is>
      </c>
      <c r="G46" s="107" t="inlineStr">
        <is>
          <t>smoke: docker build succeeds + healthcheck returns 200 in &lt;60s</t>
        </is>
      </c>
      <c r="H46" s="107" t="inlineStr">
        <is>
          <t>Not Started</t>
        </is>
      </c>
      <c r="I46" s="107" t="inlineStr">
        <is>
          <t>P1</t>
        </is>
      </c>
      <c r="J46" s="107" t="inlineStr"/>
      <c r="K46" s="107" t="inlineStr"/>
      <c r="L46" s="107" t="inlineStr"/>
      <c r="M46" s="107" t="inlineStr">
        <is>
          <t>Depends on S5-06 (Stand up CI/CD). Until then, the static tests are the guardrail.</t>
        </is>
      </c>
    </row>
    <row r="47">
      <c r="A47" s="107" t="inlineStr">
        <is>
          <t>FIX-003-A</t>
        </is>
      </c>
      <c r="B47" s="107" t="inlineStr">
        <is>
          <t>Sprint 2 / Tenancy &amp; Data</t>
        </is>
      </c>
      <c r="C47" s="107" t="inlineStr">
        <is>
          <t>S2-03 + S2-04</t>
        </is>
      </c>
      <c r="D47" s="107" t="inlineStr">
        <is>
          <t>Tenant-scope OTP + WhatsApp phone routing</t>
        </is>
      </c>
      <c r="E47" s="107" t="inlineStr">
        <is>
          <t>Phone was treated as a global identifier. Two users in different tenants sharing a phone collided: OTP overwrote each other's codes; verify returned first-match user across tenants; resolve_wa_tenant silently orphaned the losing tenant's user by marking them wa_phone_obsolete. Also folded S2-04: whatsapp_logs OR-included tenant_id=None events, leaking platform-wide unrouted traffic into every tenant's log view. Fix: phone is unique WITHIN a tenant. New services/phone.find_tenant_choices_for_phone as single choke-point. OTP models accept optional tenant_id; single-tenant fast path unchanged, multi-tenant returns ambiguity payload (200 for request, 409 for verify). otp_codes now keyed by (phone, tenant_id) with new compound unique index + migration otp_codes_tenant_scope_v1. resolve_wa_tenant cross-tenant collision: notifies BOTH tenant owners, falls back to WA_TENANT_ID, does NOT mark anyone obsolete. Within-tenant dedup still works with defense-in-depth tenant_id guard on update_many. whatsapp_logs strict tenant_id filter.</t>
        </is>
      </c>
      <c r="F47" s="107" t="inlineStr">
        <is>
          <t>services/phone.py (find_tenant_choices_for_phone); server.py: OtpRequestInput/OtpVerifyInput (tenant_id field), _issue_otp (compound key + required tenant_id), /auth/otp/request (ambiguity + tenant_id validation), /auth/otp/verify (compound key + 409 ambiguity), /auth/invite/{token}/start (uses invite's tenant), resolve_wa_tenant (cross-tenant safety + tenant-guarded update_many + invited_employees safety), whatsapp_logs (strict filter), _bootstrap (new migration + compound index)</t>
        </is>
      </c>
      <c r="G47" s="107" t="inlineStr">
        <is>
          <t>tests/test_tenant_phone_routing.py - 22 tests (helper contract, OTP model + handler source-level invariants, resolve_wa_tenant cross-tenant safety across 7 scenarios, whatsapp_logs regression guard, bootstrap wiring)</t>
        </is>
      </c>
      <c r="H47" s="106" t="inlineStr">
        <is>
          <t>Done</t>
        </is>
      </c>
      <c r="I47" s="107" t="inlineStr">
        <is>
          <t>P0</t>
        </is>
      </c>
      <c r="J47" s="107" t="inlineStr">
        <is>
          <t>2026-08-09</t>
        </is>
      </c>
      <c r="K47" s="107" t="inlineStr">
        <is>
          <t>2026-08-09</t>
        </is>
      </c>
      <c r="L47" s="107" t="inlineStr">
        <is>
          <t>6a1ecec</t>
        </is>
      </c>
      <c r="M47" s="107" t="inlineStr">
        <is>
          <t>Bundles S2-03 (P0) with S2-04 (P1) since they share the same code area. Handler source-level assertions are the primary lock-in; live-HTTP integration tests (test_iteration29/30) run only in the deployed env — logged as FIX-FUP-16. Per-tenant WABA is Sprint 3 (FIX-FUP-17).</t>
        </is>
      </c>
    </row>
    <row r="48">
      <c r="A48" t="inlineStr">
        <is>
          <t>FIX-FUP-16</t>
        </is>
      </c>
      <c r="B48" t="inlineStr">
        <is>
          <t>Follow-up (from FIX-003-A)</t>
        </is>
      </c>
      <c r="C48" t="inlineStr">
        <is>
          <t>(logged during 003-A)</t>
        </is>
      </c>
      <c r="D48" t="inlineStr">
        <is>
          <t>Update deployed integration tests to send tenant_id on OTP flows</t>
        </is>
      </c>
      <c r="E48" t="inlineStr">
        <is>
          <t>tests/test_iteration29.py + test_iteration30.py are live-HTTP tests against /app/backend/.env (Linux paths, deployed-only). They hit /auth/otp/request + /auth/otp/verify without tenant_id. In a single-tenant deployed env they still pass (fast path), but a multi-tenant fixture would need tenant_id threading. Update once a staging env with multiple tenants is available.</t>
        </is>
      </c>
      <c r="F48" t="inlineStr">
        <is>
          <t>tests/test_iteration29.py, tests/test_iteration30.py</t>
        </is>
      </c>
      <c r="G48" t="inlineStr">
        <is>
          <t>test: multi-tenant OTP flow with tenant_id param passes</t>
        </is>
      </c>
      <c r="H48" t="inlineStr">
        <is>
          <t>Not Started</t>
        </is>
      </c>
      <c r="I48" t="inlineStr">
        <is>
          <t>P2</t>
        </is>
      </c>
      <c r="M48" t="inlineStr">
        <is>
          <t>Blocked on S5-01 (Stand up staging env). Single-tenant deployments unaffected.</t>
        </is>
      </c>
    </row>
    <row r="49">
      <c r="A49" t="inlineStr">
        <is>
          <t>FIX-FUP-17</t>
        </is>
      </c>
      <c r="B49" t="inlineStr">
        <is>
          <t>Follow-up (from FIX-003-A)</t>
        </is>
      </c>
      <c r="C49" t="inlineStr">
        <is>
          <t>(logged during 003-A)</t>
        </is>
      </c>
      <c r="D49" t="inlineStr">
        <is>
          <t>Per-tenant WhatsApp Business Account (WABA) provisioning</t>
        </is>
      </c>
      <c r="E49" t="inlineStr">
        <is>
          <t>Today WA_PHONE_NUMBER_ID is a platform-level env var. That means the whole platform runs against ONE Meta WABA and sender-phone is the only signal we have for tenant routing. If each tenant provisions their OWN WABA + business number, we can route by the RECEIVING business number (which Meta sends in webhook value.metadata.phone_number_id) instead of the sender's phone. Eliminates cross-tenant collisions entirely — a phone can be an employee in workspace A and a supplier in workspace B without ambiguity because Meta tells us which of OUR numbers the message hit. Requires: schema change (tenants.wa_phone_number_id), settings UI, onboarding flow to link a Meta WABA, and updating resolve_wa_tenant to prefer receiving-number lookup.</t>
        </is>
      </c>
      <c r="F49" t="inlineStr">
        <is>
          <t>server.py resolve_wa_tenant (add receiving_pnid arg); routers/tenant (settings UI to save wa_phone_number_id); webhook to extract value.metadata.phone_number_id and pass through</t>
        </is>
      </c>
      <c r="G49" t="inlineStr">
        <is>
          <t>test: two tenants with distinct wa_phone_number_id -&gt; messages route correctly; same sender phone across both -&gt; each tenant gets their own message</t>
        </is>
      </c>
      <c r="H49" t="inlineStr">
        <is>
          <t>Not Started</t>
        </is>
      </c>
      <c r="I49" t="inlineStr">
        <is>
          <t>P1</t>
        </is>
      </c>
      <c r="M49" t="inlineStr">
        <is>
          <t>Sprint 3 territory (S3-03 or new S3-05). Removes the whole class of cross-tenant WhatsApp collision.</t>
        </is>
      </c>
    </row>
    <row r="50">
      <c r="A50" t="inlineStr">
        <is>
          <t>FIX-003-B</t>
        </is>
      </c>
      <c r="B50" t="inlineStr">
        <is>
          <t>Sprint 2 / Tenancy Hygiene</t>
        </is>
      </c>
      <c r="C50" t="inlineStr">
        <is>
          <t>S2-05 + S2-08 + S2-10 + S2-12</t>
        </is>
      </c>
      <c r="D50" t="inlineStr">
        <is>
          <t>Sprint 2 hygiene batch: enrich_decisions tenant guard, contacts.type index, register race, active-workflow lock-in</t>
        </is>
      </c>
      <c r="E50" t="inlineStr">
        <is>
          <t>S2-05 defense-in-depth: enrich_decision(s) now filter task_ids/created_by lookups by tenant_id; batch inference for single-tenant callers who forget; explicit at all 6 caller sites. S2-08: contacts index was on dead field `kind` (the collection uses `type`); replaced + drops legacy. S2-10: register handler was find_one-then-insert_one with orphan-tenant risk on concurrent race; now catches DuplicateKeyError, rolls back the orphan tenant, returns friendly 400. S2-12: verified S2-12 was fully closed by FIX-001-F and locked it in with a regression test guarding against ['delivered','paid'] reappearing anywhere in server.py.</t>
        </is>
      </c>
      <c r="F50" t="inlineStr">
        <is>
          <t>server.py (enrich_decision(s) + know360 caller + owner_brief caller + contacts index in bootstrap); routers/decisions.py (6 enrich_decision callers); routers/brief.py (awaiting_approval); routers/auth.py (register DuplicateKeyError handling + orphan tenant rollback)</t>
        </is>
      </c>
      <c r="G50" t="inlineStr">
        <is>
          <t>tests/test_tenancy_hygiene_batch.py - 10 tests (4x enrich_decision tenant guard incl. batch inference + mixed-batch + creator lookup, 2x contacts.type index bootstrap, 2x register DuplicateKeyError + rollback + email unique index invariant, 2x active-workflow lock-in)</t>
        </is>
      </c>
      <c r="H50" s="106" t="inlineStr">
        <is>
          <t>Done</t>
        </is>
      </c>
      <c r="I50" t="inlineStr">
        <is>
          <t>P1</t>
        </is>
      </c>
      <c r="J50" t="inlineStr">
        <is>
          <t>2026-08-10</t>
        </is>
      </c>
      <c r="K50" t="inlineStr">
        <is>
          <t>2026-08-10</t>
        </is>
      </c>
      <c r="L50" t="inlineStr">
        <is>
          <t>f18bbc3</t>
        </is>
      </c>
      <c r="M50" t="inlineStr">
        <is>
          <t>Bundled 4 small Sprint 2 items. All P1/P2, no go-live blocker individually; bundled for efficiency. S2-12 was already implemented by FIX-001-F; this ship formalized the regression guard.</t>
        </is>
      </c>
    </row>
    <row r="51">
      <c r="A51" t="inlineStr">
        <is>
          <t>FIX-003-C</t>
        </is>
      </c>
      <c r="B51" t="inlineStr">
        <is>
          <t>Sprint 2 / Auth &amp; Hygiene</t>
        </is>
      </c>
      <c r="C51" t="inlineStr">
        <is>
          <t>S2-06 + S2-09 + S2-11</t>
        </is>
      </c>
      <c r="D51" t="inlineStr">
        <is>
          <t>JWT revocation on logout + contact rename cascade + AI regen failure flag</t>
        </is>
      </c>
      <c r="E51" t="inlineStr">
        <is>
          <t>S2-06 (security): /logout only cleared browser cookie; JWT stayed valid until exp (7 days). Now: every access token gains a random jti; /logout records (jti, exp) in db.revoked_tokens; get_current_user checks is_revoked on every authenticated request. TTL index on revoked_tokens.exp keeps the table bounded. Fail-open on Mongo blip so a transient DB error doesn't lock everyone out. /logout has no auth dependency so a corrupted/already-revoked token can still clear the cookie. S2-09: contact_name is denormalized into invoices/payments/workflows.counterparty; renaming a contact left every existing row with stale display + search columns. update_contact now cascades: match by contact_id (recent rows) + fall back to exact old_name where contact_id is null (legacy rows). Every cascade update is tenant-scoped. S2-11: regenerate_operating_model + regenerate_finance_categories called AI generators directly, so silent AI degradation (timeout, malformed JSON, empty pipelines) left tenants with default configs and no signal. Now uses ai_setup._with_status wrappers, persists ai_setup_status on tenant, returns ai_setup_status_summary in response. On defaulted/failed run, preserves existing config instead of clobbering.</t>
        </is>
      </c>
      <c r="F51" t="inlineStr">
        <is>
          <t>services/session_revocation.py (new: revoke/is_revoked with fail-open); core.py (create_token adds jti, get_current_user checks is_revoked); routers/auth.py (/logout revokes current jti + Request import); server.py (bootstrap: revoked_tokens jti unique + exp TTL indexes; regenerate_operating_model + regenerate_finance_categories status-tracking; update_contact rename cascade)</t>
        </is>
      </c>
      <c r="G51" t="inlineStr">
        <is>
          <t>tests/test_session_revocation.py - 17 tests (6 revoke/is_revoked contract, 2 jti in create_token, 2 /logout revocation + no auth dep, 1 get_current_user revocation check, 1 bootstrap indexes, 2 contact rename cascade guards, 3 AI regen status tracking)</t>
        </is>
      </c>
      <c r="H51" s="106" t="inlineStr">
        <is>
          <t>Done</t>
        </is>
      </c>
      <c r="I51" t="inlineStr">
        <is>
          <t>P1</t>
        </is>
      </c>
      <c r="J51" t="inlineStr">
        <is>
          <t>2026-08-10</t>
        </is>
      </c>
      <c r="K51" t="inlineStr">
        <is>
          <t>2026-08-10</t>
        </is>
      </c>
      <c r="L51" t="inlineStr">
        <is>
          <t>f48bd24</t>
        </is>
      </c>
      <c r="M51" t="inlineStr">
        <is>
          <t>S2-06 is the real security fix in this batch. Sprint 2 now 11/12 shipped; only S2-07 (email verification + password reset, green-field email service) remains.</t>
        </is>
      </c>
    </row>
  </sheetData>
  <mergeCells count="10">
    <mergeCell ref="B45:E45"/>
    <mergeCell ref="B40:E40"/>
    <mergeCell ref="B41:E41"/>
    <mergeCell ref="A1:M1"/>
    <mergeCell ref="B43:E43"/>
    <mergeCell ref="B38:E38"/>
    <mergeCell ref="B44:E44"/>
    <mergeCell ref="B39:E39"/>
    <mergeCell ref="B42:E42"/>
    <mergeCell ref="A2:M2"/>
  </mergeCells>
  <conditionalFormatting sqref="H11:H500">
    <cfRule type="cellIs" priority="1" operator="equal" dxfId="2">
      <formula>"Not Started"</formula>
    </cfRule>
    <cfRule type="cellIs" priority="2" operator="equal" dxfId="3">
      <formula>"Planning"</formula>
    </cfRule>
    <cfRule type="cellIs" priority="3" operator="equal" dxfId="4">
      <formula>"In Progress"</formula>
    </cfRule>
    <cfRule type="cellIs" priority="4" operator="equal" dxfId="6">
      <formula>"Code Review"</formula>
    </cfRule>
    <cfRule type="cellIs" priority="5" operator="equal" dxfId="8">
      <formula>"Testing"</formula>
    </cfRule>
    <cfRule type="cellIs" priority="6" operator="equal" dxfId="7">
      <formula>"Done"</formula>
    </cfRule>
    <cfRule type="cellIs" priority="7" operator="equal" dxfId="5">
      <formula>"Blocked"</formula>
    </cfRule>
    <cfRule type="cellIs" priority="8" operator="equal" dxfId="5">
      <formula>"Rolled Back"</formula>
    </cfRule>
  </conditionalFormatting>
  <dataValidations count="2">
    <dataValidation sqref="H11:H500" showDropDown="0" showInputMessage="0" showErrorMessage="0" allowBlank="0" type="list">
      <formula1>"Not Started,Planning,In Progress,Code Review,Testing,Done,Blocked,Rolled Back"</formula1>
    </dataValidation>
    <dataValidation sqref="I11:I500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3"/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54" t="inlineStr">
        <is>
          <t>[S1-01] Externalize the follow-up scheduler
(Scale/Ops)</t>
        </is>
      </c>
      <c r="C5" s="55" t="inlineStr">
        <is>
          <t>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54" t="inlineStr">
        <is>
          <t>[S1-02] Index phone, drop Python-side filter
(Scale/Ops)</t>
        </is>
      </c>
      <c r="C6" s="55" t="inlineStr">
        <is>
          <t>[S2-02] Complete TENANT_COLLECTIONS wipe
(Tenancy/Data)</t>
        </is>
      </c>
      <c r="D6" s="55" t="inlineStr">
        <is>
          <t>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54" t="inlineStr">
        <is>
          <t>[S1-03] Move all uploads to obj_store
(Scale/Ops)</t>
        </is>
      </c>
      <c r="C7" s="108" t="inlineStr">
        <is>
          <t>[DONE][S2-03] Tenant-scope OTP + WhatsApp phone routing
(Tenancy/Data)</t>
        </is>
      </c>
      <c r="D7" s="54" t="inlineStr">
        <is>
          <t>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108" t="inlineStr">
        <is>
          <t>[DONE][S1-04] Commit real deployment config
(Scale/Ops)</t>
        </is>
      </c>
      <c r="C8" s="108" t="inlineStr">
        <is>
          <t>[DONE][S2-04] Fix cross-tenant WhatsApp log leak
(Tenancy/Data)</t>
        </is>
      </c>
      <c r="D8" s="55" t="inlineStr">
        <is>
          <t>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55" t="inlineStr">
        <is>
          <t>[S1-05] Timeout + concurrency-limit LLM calls
(Scale/Ops)</t>
        </is>
      </c>
      <c r="C9" s="108" t="inlineStr">
        <is>
          <t>[DONE][S2-05]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54" t="inlineStr">
        <is>
          <t>[S1-06] Fix hardcoded purchase_payment key
(Scale/Ops)</t>
        </is>
      </c>
      <c r="C10" s="108" t="inlineStr">
        <is>
          <t>[DONE][S2-06]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55" t="inlineStr">
        <is>
          <t>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108" t="inlineStr">
        <is>
          <t>[DONE][S2-08]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108" t="inlineStr">
        <is>
          <t>[DONE][S2-09]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108" t="inlineStr">
        <is>
          <t>[DONE][S2-10]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108" t="inlineStr">
        <is>
          <t>[DONE][S2-11]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108" t="inlineStr">
        <is>
          <t>[DONE][S2-12] Fix 'active workflows' hardcoded terminal stages
(Tenancy/Data)</t>
        </is>
      </c>
    </row>
    <row r="17"/>
    <row r="18"/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42" customWidth="1" min="4" max="4"/>
    <col width="32" customWidth="1" min="5" max="5"/>
    <col width="42" customWidth="1" min="6" max="6"/>
    <col width="14" customWidth="1" min="7" max="7"/>
    <col width="16" customWidth="1" min="8" max="8"/>
    <col width="13" customWidth="1" min="9" max="9"/>
    <col width="12" customWidth="1" min="10" max="10"/>
  </cols>
  <sheetData>
    <row r="1">
      <c r="A1" s="61" t="inlineStr">
        <is>
          <t>Testing Plan — from automated tests through Alpha, Beta, and GA</t>
        </is>
      </c>
    </row>
    <row r="2">
      <c r="A2" s="15" t="inlineStr">
        <is>
          <t>Every test type required before going live, sequenced by phase, plus the Alpha -&gt; Closed Beta -&gt; Staged Beta -&gt; GA rollout milestones.</t>
        </is>
      </c>
    </row>
    <row r="4">
      <c r="A4" s="4" t="inlineStr">
        <is>
          <t>Rollout Milestones</t>
        </is>
      </c>
    </row>
    <row r="5" ht="24" customHeight="1">
      <c r="A5" s="20" t="inlineStr">
        <is>
          <t>Stage</t>
        </is>
      </c>
      <c r="B5" s="20" t="inlineStr">
        <is>
          <t>Tenant Count</t>
        </is>
      </c>
      <c r="C5" s="20" t="inlineStr">
        <is>
          <t>Duration</t>
        </is>
      </c>
      <c r="D5" s="20" t="inlineStr">
        <is>
          <t>Entry Criteria</t>
        </is>
      </c>
      <c r="E5" s="20" t="inlineStr">
        <is>
          <t>Exit Criteria / Pass Bar</t>
        </is>
      </c>
    </row>
    <row r="6" ht="46" customHeight="1">
      <c r="A6" s="21" t="inlineStr">
        <is>
          <t>Internal Alpha</t>
        </is>
      </c>
      <c r="B6" s="22" t="inlineStr">
        <is>
          <t>0 (internal only)</t>
        </is>
      </c>
      <c r="C6" s="22" t="inlineStr">
        <is>
          <t>1-2 weeks</t>
        </is>
      </c>
      <c r="D6" s="22" t="inlineStr">
        <is>
          <t>Sprint 0 + 1 P0 Done, automated suite green</t>
        </is>
      </c>
      <c r="E6" s="22" t="inlineStr">
        <is>
          <t>Zero open P0/P1 after full manual walkthrough of every module + baseline load test</t>
        </is>
      </c>
    </row>
    <row r="7" ht="46" customHeight="1">
      <c r="A7" s="26" t="inlineStr">
        <is>
          <t>Closed Beta</t>
        </is>
      </c>
      <c r="B7" s="22" t="inlineStr">
        <is>
          <t>3-5 design partners</t>
        </is>
      </c>
      <c r="C7" s="22" t="inlineStr">
        <is>
          <t>2-4 weeks</t>
        </is>
      </c>
      <c r="D7" s="22" t="inlineStr">
        <is>
          <t>Alpha exit met + Sprint 2 + 3 Done + backup/restore drill passed</t>
        </is>
      </c>
      <c r="E7" s="22" t="inlineStr">
        <is>
          <t>No P0 incidents, daily active usage from most partners, isolation matrix 100% pass, 1+ non-textile tenant validated</t>
        </is>
      </c>
    </row>
    <row r="8" ht="46" customHeight="1">
      <c r="A8" s="27" t="inlineStr">
        <is>
          <t>Staged Open Beta</t>
        </is>
      </c>
      <c r="B8" s="22" t="inlineStr">
        <is>
          <t>10 -&gt; 30 -&gt; 50 tenants</t>
        </is>
      </c>
      <c r="C8" s="22" t="inlineStr">
        <is>
          <t>3-6 weeks (tiered)</t>
        </is>
      </c>
      <c r="D8" s="22" t="inlineStr">
        <is>
          <t>Closed Beta exit met + Sprint 5 Done</t>
        </is>
      </c>
      <c r="E8" s="22" t="inlineStr">
        <is>
          <t>SLO held at every tier, zero scheduler/cross-tenant incidents, support load manageable</t>
        </is>
      </c>
    </row>
    <row r="9" ht="46" customHeight="1">
      <c r="A9" s="29" t="inlineStr">
        <is>
          <t>General Availability</t>
        </is>
      </c>
      <c r="B9" s="22" t="inlineStr">
        <is>
          <t>100+ / self-serve</t>
        </is>
      </c>
      <c r="C9" s="22" t="inlineStr">
        <is>
          <t>Ongoing</t>
        </is>
      </c>
      <c r="D9" s="22" t="inlineStr">
        <is>
          <t>Staged Beta exit met + Go-Live Checklist 100% + go/no-go held</t>
        </is>
      </c>
      <c r="E9" s="22" t="inlineStr">
        <is>
          <t>Sustained SLA at target traffic, zero open P0s for a full monitoring cycle</t>
        </is>
      </c>
    </row>
    <row r="11">
      <c r="A11" s="4" t="inlineStr">
        <is>
          <t>Detailed Test Plan — by phase</t>
        </is>
      </c>
    </row>
    <row r="12" ht="26" customHeight="1">
      <c r="A12" s="62" t="inlineStr">
        <is>
          <t>Phase</t>
        </is>
      </c>
      <c r="B12" s="62" t="inlineStr">
        <is>
          <t>Test Type</t>
        </is>
      </c>
      <c r="C12" s="62" t="inlineStr">
        <is>
          <t>What It Verifies</t>
        </is>
      </c>
      <c r="D12" s="62" t="inlineStr">
        <is>
          <t>Scope / Method</t>
        </is>
      </c>
      <c r="E12" s="62" t="inlineStr">
        <is>
          <t>Entry Criteria</t>
        </is>
      </c>
      <c r="F12" s="62" t="inlineStr">
        <is>
          <t>Exit Criteria / Pass Bar</t>
        </is>
      </c>
      <c r="G12" s="62" t="inlineStr">
        <is>
          <t>Environment</t>
        </is>
      </c>
      <c r="H12" s="62" t="inlineStr">
        <is>
          <t>Linked Sprint</t>
        </is>
      </c>
      <c r="I12" s="63" t="inlineStr">
        <is>
          <t>Status</t>
        </is>
      </c>
      <c r="J12" s="63" t="inlineStr">
        <is>
          <t>Owner</t>
        </is>
      </c>
    </row>
    <row r="13" ht="58" customHeight="1">
      <c r="A13" s="64" t="inlineStr">
        <is>
          <t>A</t>
        </is>
      </c>
      <c r="B13" s="103" t="inlineStr">
        <is>
          <t>Unit Testing</t>
        </is>
      </c>
      <c r="C13" s="22" t="inlineStr">
        <is>
          <t>Individual functions/handlers behave correctly in isolation (auth, RBAC, compute handlers, operating-model resolver, etc.)</t>
        </is>
      </c>
      <c r="D13" s="22" t="inlineStr">
        <is>
          <t>pytest, run on every PR (backend/pytest.ini, backend/tests/)</t>
        </is>
      </c>
      <c r="E13" s="22" t="inlineStr">
        <is>
          <t>Code written</t>
        </is>
      </c>
      <c r="F13" s="22" t="inlineStr">
        <is>
          <t>100% of new/changed code has a passing unit test; suite green in CI</t>
        </is>
      </c>
      <c r="G13" s="103" t="inlineStr">
        <is>
          <t>Dev / CI</t>
        </is>
      </c>
      <c r="H13" s="103" t="inlineStr">
        <is>
          <t>Sprint 0-5 (continuous)</t>
        </is>
      </c>
      <c r="I13" s="37" t="inlineStr">
        <is>
          <t>Not Started</t>
        </is>
      </c>
      <c r="J13" s="103" t="inlineStr"/>
    </row>
    <row r="14" ht="58" customHeight="1">
      <c r="A14" s="64" t="inlineStr">
        <is>
          <t>A</t>
        </is>
      </c>
      <c r="B14" s="103" t="inlineStr">
        <is>
          <t>Integration Testing</t>
        </is>
      </c>
      <c r="C14" s="22" t="inlineStr">
        <is>
          <t>Full request/response flow across routers + DB for each domain (auth, tasks, decisions, workflows, brain, ledger)</t>
        </is>
      </c>
      <c r="D14" s="22" t="inlineStr">
        <is>
          <t>pytest against a real test Mongo instance, one suite per router domain</t>
        </is>
      </c>
      <c r="E14" s="22" t="inlineStr">
        <is>
          <t>Unit suite green</t>
        </is>
      </c>
      <c r="F14" s="22" t="inlineStr">
        <is>
          <t>Every endpoint touched by Sprints 0-3 has at least one integration test; suite green</t>
        </is>
      </c>
      <c r="G14" s="103" t="inlineStr">
        <is>
          <t>Dev / CI</t>
        </is>
      </c>
      <c r="H14" s="103" t="inlineStr">
        <is>
          <t>Sprint 0-3</t>
        </is>
      </c>
      <c r="I14" s="37" t="inlineStr">
        <is>
          <t>Not Started</t>
        </is>
      </c>
      <c r="J14" s="103" t="inlineStr"/>
    </row>
    <row r="15" ht="58" customHeight="1">
      <c r="A15" s="64" t="inlineStr">
        <is>
          <t>A</t>
        </is>
      </c>
      <c r="B15" s="103" t="inlineStr">
        <is>
          <t>Regression Testing</t>
        </is>
      </c>
      <c r="C15" s="22" t="inlineStr">
        <is>
          <t>Nothing that used to work broke as a result of this round of fixes</t>
        </is>
      </c>
      <c r="D15" s="22" t="inlineStr">
        <is>
          <t>Full automated suite re-run after each sprint merges to the branch</t>
        </is>
      </c>
      <c r="E15" s="22" t="inlineStr">
        <is>
          <t>Each sprint's tasks marked Done</t>
        </is>
      </c>
      <c r="F15" s="22" t="inlineStr">
        <is>
          <t>Zero net-new failures vs. the pre-sprint baseline run</t>
        </is>
      </c>
      <c r="G15" s="103" t="inlineStr">
        <is>
          <t>CI</t>
        </is>
      </c>
      <c r="H15" s="103" t="inlineStr">
        <is>
          <t>Every sprint</t>
        </is>
      </c>
      <c r="I15" s="37" t="inlineStr">
        <is>
          <t>Not Started</t>
        </is>
      </c>
      <c r="J15" s="103" t="inlineStr"/>
    </row>
    <row r="16" ht="58" customHeight="1">
      <c r="A16" s="65" t="inlineStr">
        <is>
          <t>B</t>
        </is>
      </c>
      <c r="B16" s="103" t="inlineStr">
        <is>
          <t>Multi-Tenant Isolation Test Matrix</t>
        </is>
      </c>
      <c r="C16" s="22" t="inlineStr">
        <is>
          <t>No cross-tenant read/write is possible on ANY collection, endpoint, or background job</t>
        </is>
      </c>
      <c r="D16" s="22" t="inlineStr">
        <is>
          <t>Scripted test: create 2+ tenants with overlapping data (incl. same phone number per S2-03), attempt cross-tenant read/write/delete on every collection + every _ensure_owned call site from S2-01</t>
        </is>
      </c>
      <c r="E16" s="22" t="inlineStr">
        <is>
          <t>Sprint 2 tasks Done</t>
        </is>
      </c>
      <c r="F16" s="22" t="inlineStr">
        <is>
          <t>100% pass — zero cross-tenant access possible, incl. OTP/WhatsApp phone routing and tenant deletion completeness</t>
        </is>
      </c>
      <c r="G16" s="103" t="inlineStr">
        <is>
          <t>Staging</t>
        </is>
      </c>
      <c r="H16" s="103" t="inlineStr">
        <is>
          <t>Sprint 2</t>
        </is>
      </c>
      <c r="I16" s="37" t="inlineStr">
        <is>
          <t>Not Started</t>
        </is>
      </c>
      <c r="J16" s="103" t="inlineStr"/>
    </row>
    <row r="17" ht="58" customHeight="1">
      <c r="A17" s="65" t="inlineStr">
        <is>
          <t>B</t>
        </is>
      </c>
      <c r="B17" s="103" t="inlineStr">
        <is>
          <t>Dynamic-Workflow Multi-Tenant Test</t>
        </is>
      </c>
      <c r="C17" s="22" t="inlineStr">
        <is>
          <t>A NON-textile tenant (e.g. restaurant/clinic) gets a correctly working approval + payment-tracking loop, not just the textile demo</t>
        </is>
      </c>
      <c r="D17" s="22" t="inlineStr">
        <is>
          <t>Onboard a synthetic non-textile tenant, run its AI-designed pipeline end to end incl. owner approval + dashboard KPIs</t>
        </is>
      </c>
      <c r="E17" s="22" t="inlineStr">
        <is>
          <t>S1-06 Done</t>
        </is>
      </c>
      <c r="F17" s="22" t="inlineStr">
        <is>
          <t>Approval gate, pending-purchases dashboard, and payment-overdue alerts all fire correctly for the non-textile pipeline</t>
        </is>
      </c>
      <c r="G17" s="103" t="inlineStr">
        <is>
          <t>Staging</t>
        </is>
      </c>
      <c r="H17" s="103" t="inlineStr">
        <is>
          <t>Sprint 1</t>
        </is>
      </c>
      <c r="I17" s="37" t="inlineStr">
        <is>
          <t>Not Started</t>
        </is>
      </c>
      <c r="J17" s="103" t="inlineStr"/>
    </row>
    <row r="18" ht="58" customHeight="1">
      <c r="A18" s="66" t="inlineStr">
        <is>
          <t>C</t>
        </is>
      </c>
      <c r="B18" s="103" t="inlineStr">
        <is>
          <t>Security / Penetration Testing</t>
        </is>
      </c>
      <c r="C18" s="22" t="inlineStr">
        <is>
          <t>Every Sprint 0 vulnerability is actually closed, not just patched in one spot</t>
        </is>
      </c>
      <c r="D18" s="22" t="inlineStr">
        <is>
          <t>Manual + tool-assisted (OWASP ZAP or similar): CORS/CSRF exploit attempt, unauth file access, JWT tampering, WhatsApp signature bypass, brute-force login, superadmin default creds</t>
        </is>
      </c>
      <c r="E18" s="22" t="inlineStr">
        <is>
          <t>Sprint 0 tasks Done</t>
        </is>
      </c>
      <c r="F18" s="22" t="inlineStr">
        <is>
          <t>Zero exploitable findings on the Sprint 0 issue list; independent reviewer (or external pentest) sign-off</t>
        </is>
      </c>
      <c r="G18" s="103" t="inlineStr">
        <is>
          <t>Staging</t>
        </is>
      </c>
      <c r="H18" s="103" t="inlineStr">
        <is>
          <t>Sprint 0</t>
        </is>
      </c>
      <c r="I18" s="37" t="inlineStr">
        <is>
          <t>Not Started</t>
        </is>
      </c>
      <c r="J18" s="103" t="inlineStr"/>
    </row>
    <row r="19" ht="58" customHeight="1">
      <c r="A19" s="66" t="inlineStr">
        <is>
          <t>C</t>
        </is>
      </c>
      <c r="B19" s="103" t="inlineStr">
        <is>
          <t>RBAC / Permission Audit</t>
        </is>
      </c>
      <c r="C19" s="22" t="inlineStr">
        <is>
          <t>Every role sees exactly what it should and nothing more (finance data, admin routes, brain visibility rules)</t>
        </is>
      </c>
      <c r="D19" s="22" t="inlineStr">
        <is>
          <t>Scripted test matrix: role x endpoint x expected access, incl. brain_rbac intents and document visibility rules</t>
        </is>
      </c>
      <c r="E19" s="22" t="inlineStr">
        <is>
          <t>Sprint 0-2 Done</t>
        </is>
      </c>
      <c r="F19" s="22" t="inlineStr">
        <is>
          <t>100% pass on the role x endpoint matrix</t>
        </is>
      </c>
      <c r="G19" s="103" t="inlineStr">
        <is>
          <t>Staging</t>
        </is>
      </c>
      <c r="H19" s="103" t="inlineStr">
        <is>
          <t>Sprint 0-2</t>
        </is>
      </c>
      <c r="I19" s="37" t="inlineStr">
        <is>
          <t>Not Started</t>
        </is>
      </c>
      <c r="J19" s="103" t="inlineStr"/>
    </row>
    <row r="20" ht="58" customHeight="1">
      <c r="A20" s="67" t="inlineStr">
        <is>
          <t>D</t>
        </is>
      </c>
      <c r="B20" s="103" t="inlineStr">
        <is>
          <t>Load / Performance Testing — Baseline</t>
        </is>
      </c>
      <c r="C20" s="22" t="inlineStr">
        <is>
          <t>Normal-traffic response times meet SLO before adding concurrency</t>
        </is>
      </c>
      <c r="D20" s="22" t="inlineStr">
        <is>
          <t>k6 or Locust against staging, single-tenant, ramping requests per endpoint</t>
        </is>
      </c>
      <c r="E20" s="22" t="inlineStr">
        <is>
          <t>Sprint 1 Done, staging live (S5-01)</t>
        </is>
      </c>
      <c r="F20" s="22" t="inlineStr">
        <is>
          <t>P95 latency within target (e.g. &lt;500ms for reads, &lt;3s for AI-backed endpoints) at expected steady load</t>
        </is>
      </c>
      <c r="G20" s="103" t="inlineStr">
        <is>
          <t>Staging</t>
        </is>
      </c>
      <c r="H20" s="103" t="inlineStr">
        <is>
          <t>Sprint 5</t>
        </is>
      </c>
      <c r="I20" s="37" t="inlineStr">
        <is>
          <t>Not Started</t>
        </is>
      </c>
      <c r="J20" s="103" t="inlineStr"/>
    </row>
    <row r="21" ht="58" customHeight="1">
      <c r="A21" s="67" t="inlineStr">
        <is>
          <t>D</t>
        </is>
      </c>
      <c r="B21" s="103" t="inlineStr">
        <is>
          <t>Load Testing — Multi-Tenant Concurrency</t>
        </is>
      </c>
      <c r="C21" s="22" t="inlineStr">
        <is>
          <t>The system holds up with ~100 tenants' worth of simultaneous traffic, not just one tenant at a time</t>
        </is>
      </c>
      <c r="D21" s="22" t="inlineStr">
        <is>
          <t>k6/Locust simulating 100 tenants concurrently hitting dashboards, /ask, and voice-capture together (S5-02)</t>
        </is>
      </c>
      <c r="E21" s="22" t="inlineStr">
        <is>
          <t>Baseline load test passed</t>
        </is>
      </c>
      <c r="F21" s="22" t="inlineStr">
        <is>
          <t>No error-rate spike, no shared-LLM-key 429 cascade (validates S1-05), DB pool holds under SUMMED load</t>
        </is>
      </c>
      <c r="G21" s="103" t="inlineStr">
        <is>
          <t>Staging</t>
        </is>
      </c>
      <c r="H21" s="103" t="inlineStr">
        <is>
          <t>Sprint 5</t>
        </is>
      </c>
      <c r="I21" s="37" t="inlineStr">
        <is>
          <t>Not Started</t>
        </is>
      </c>
      <c r="J21" s="103" t="inlineStr"/>
    </row>
    <row r="22" ht="58" customHeight="1">
      <c r="A22" s="67" t="inlineStr">
        <is>
          <t>D</t>
        </is>
      </c>
      <c r="B22" s="103" t="inlineStr">
        <is>
          <t>Spike / Burst Testing</t>
        </is>
      </c>
      <c r="C22" s="22" t="inlineStr">
        <is>
          <t>A sudden burst (e.g. many tenants' morning login + voice-capture rush) doesn't cascade into an outage</t>
        </is>
      </c>
      <c r="D22" s="22" t="inlineStr">
        <is>
          <t>Short high-intensity burst against the follow-up-scheduler window and login/OTP path</t>
        </is>
      </c>
      <c r="E22" s="22" t="inlineStr">
        <is>
          <t>Multi-tenant load test passed</t>
        </is>
      </c>
      <c r="F22" s="22" t="inlineStr">
        <is>
          <t>System recovers within target time with no dropped requests beyond configured rate limits</t>
        </is>
      </c>
      <c r="G22" s="103" t="inlineStr">
        <is>
          <t>Staging</t>
        </is>
      </c>
      <c r="H22" s="103" t="inlineStr">
        <is>
          <t>Sprint 5</t>
        </is>
      </c>
      <c r="I22" s="37" t="inlineStr">
        <is>
          <t>Not Started</t>
        </is>
      </c>
      <c r="J22" s="103" t="inlineStr"/>
    </row>
    <row r="23" ht="58" customHeight="1">
      <c r="A23" s="67" t="inlineStr">
        <is>
          <t>D</t>
        </is>
      </c>
      <c r="B23" s="103" t="inlineStr">
        <is>
          <t>Soak / Endurance Testing</t>
        </is>
      </c>
      <c r="C23" s="22" t="inlineStr">
        <is>
          <t>No slow memory leak, connection-pool exhaustion, or gradual degradation over sustained runtime</t>
        </is>
      </c>
      <c r="D23" s="22" t="inlineStr">
        <is>
          <t>Run realistic traffic continuously for 24-48h on staging</t>
        </is>
      </c>
      <c r="E23" s="22" t="inlineStr">
        <is>
          <t>Spike test passed</t>
        </is>
      </c>
      <c r="F23" s="22" t="inlineStr">
        <is>
          <t>No degradation in latency/error-rate/memory over the full run</t>
        </is>
      </c>
      <c r="G23" s="103" t="inlineStr">
        <is>
          <t>Staging</t>
        </is>
      </c>
      <c r="H23" s="103" t="inlineStr">
        <is>
          <t>Sprint 5</t>
        </is>
      </c>
      <c r="I23" s="37" t="inlineStr">
        <is>
          <t>Not Started</t>
        </is>
      </c>
      <c r="J23" s="103" t="inlineStr"/>
    </row>
    <row r="24" ht="58" customHeight="1">
      <c r="A24" s="67" t="inlineStr">
        <is>
          <t>D</t>
        </is>
      </c>
      <c r="B24" s="103" t="inlineStr">
        <is>
          <t>Database Query Performance at Volume</t>
        </is>
      </c>
      <c r="C24" s="22" t="inlineStr">
        <is>
          <t>Indexes actually get used and stay fast as data grows, not just at demo-tenant scale</t>
        </is>
      </c>
      <c r="D24" s="22" t="inlineStr">
        <is>
          <t>Seed staging with ~50k tasks / 10k contacts / 20k invoices across many tenants; profile the hot dashboard + /ask queries</t>
        </is>
      </c>
      <c r="E24" s="22" t="inlineStr">
        <is>
          <t>Schema fixes (S2-08, SCALE items) Done</t>
        </is>
      </c>
      <c r="F24" s="22" t="inlineStr">
        <is>
          <t>No full-collection scans on hot paths; dashboard/brief load within SLO at seeded volume</t>
        </is>
      </c>
      <c r="G24" s="103" t="inlineStr">
        <is>
          <t>Staging</t>
        </is>
      </c>
      <c r="H24" s="103" t="inlineStr">
        <is>
          <t>Sprint 1-2</t>
        </is>
      </c>
      <c r="I24" s="37" t="inlineStr">
        <is>
          <t>Not Started</t>
        </is>
      </c>
      <c r="J24" s="103" t="inlineStr"/>
    </row>
    <row r="25" ht="58" customHeight="1">
      <c r="A25" s="68" t="inlineStr">
        <is>
          <t>E</t>
        </is>
      </c>
      <c r="B25" s="103" t="inlineStr">
        <is>
          <t>Multi-Replica / Concurrency Testing</t>
        </is>
      </c>
      <c r="C25" s="22" t="inlineStr">
        <is>
          <t>Running 3+ app replicas doesn't duplicate scheduled work or race on startup</t>
        </is>
      </c>
      <c r="D25" s="22" t="inlineStr">
        <is>
          <t>Deploy 3 replicas on staging; verify the follow-up scheduler fires exactly once per interval, not 3x (validates S1-01); verify index/migration bootstrap doesn't race</t>
        </is>
      </c>
      <c r="E25" s="22" t="inlineStr">
        <is>
          <t>Sprint 1 Done, real deploy config (S1-04) exists</t>
        </is>
      </c>
      <c r="F25" s="22" t="inlineStr">
        <is>
          <t>Zero duplicate escalation emails/alerts observed across a full scheduler interval with 3 replicas running</t>
        </is>
      </c>
      <c r="G25" s="103" t="inlineStr">
        <is>
          <t>Staging</t>
        </is>
      </c>
      <c r="H25" s="103" t="inlineStr">
        <is>
          <t>Sprint 1</t>
        </is>
      </c>
      <c r="I25" s="37" t="inlineStr">
        <is>
          <t>Not Started</t>
        </is>
      </c>
      <c r="J25" s="103" t="inlineStr"/>
    </row>
    <row r="26" ht="58" customHeight="1">
      <c r="A26" s="68" t="inlineStr">
        <is>
          <t>E</t>
        </is>
      </c>
      <c r="B26" s="103" t="inlineStr">
        <is>
          <t>Failure-Injection / Chaos Testing</t>
        </is>
      </c>
      <c r="C26" s="22" t="inlineStr">
        <is>
          <t>The system degrades gracefully, not catastrophically, when a dependency fails</t>
        </is>
      </c>
      <c r="D26" s="22" t="inlineStr">
        <is>
          <t>Kill a replica mid-request, simulate the LLM provider timing out/erroring, simulate a DB connection drop</t>
        </is>
      </c>
      <c r="E26" s="22" t="inlineStr">
        <is>
          <t>Multi-replica test passed</t>
        </is>
      </c>
      <c r="F26" s="22" t="inlineStr">
        <is>
          <t>In-flight requests fail cleanly with a user-visible error, no data corruption, service recovers automatically</t>
        </is>
      </c>
      <c r="G26" s="103" t="inlineStr">
        <is>
          <t>Staging</t>
        </is>
      </c>
      <c r="H26" s="103" t="inlineStr">
        <is>
          <t>Sprint 5</t>
        </is>
      </c>
      <c r="I26" s="37" t="inlineStr">
        <is>
          <t>Not Started</t>
        </is>
      </c>
      <c r="J26" s="103" t="inlineStr"/>
    </row>
    <row r="27" ht="58" customHeight="1">
      <c r="A27" s="69" t="inlineStr">
        <is>
          <t>F</t>
        </is>
      </c>
      <c r="B27" s="103" t="inlineStr">
        <is>
          <t>Data Migration Dry-Run</t>
        </is>
      </c>
      <c r="C27" s="22" t="inlineStr">
        <is>
          <t>Every schema change introduced by Sprints 0-3 applies cleanly to real-shaped data with no loss</t>
        </is>
      </c>
      <c r="D27" s="22" t="inlineStr">
        <is>
          <t>Run the migration plan (S5-05) against a full staging copy of realistic seeded data; diff before/after</t>
        </is>
      </c>
      <c r="E27" s="22" t="inlineStr">
        <is>
          <t>All schema-changing tasks (S1-02, S2-01/02/08, S3-02) Done</t>
        </is>
      </c>
      <c r="F27" s="22" t="inlineStr">
        <is>
          <t>Migration completes with zero data loss and a documented rollback path; re-run is idempotent</t>
        </is>
      </c>
      <c r="G27" s="103" t="inlineStr">
        <is>
          <t>Staging</t>
        </is>
      </c>
      <c r="H27" s="103" t="inlineStr">
        <is>
          <t>Sprint 5</t>
        </is>
      </c>
      <c r="I27" s="37" t="inlineStr">
        <is>
          <t>Not Started</t>
        </is>
      </c>
      <c r="J27" s="103" t="inlineStr"/>
    </row>
    <row r="28" ht="58" customHeight="1">
      <c r="A28" s="69" t="inlineStr">
        <is>
          <t>F</t>
        </is>
      </c>
      <c r="B28" s="103" t="inlineStr">
        <is>
          <t>Backup &amp; Disaster-Recovery Drill</t>
        </is>
      </c>
      <c r="C28" s="22" t="inlineStr">
        <is>
          <t>A real restore works within the defined RPO/RTO, not just a backup file existing</t>
        </is>
      </c>
      <c r="D28" s="22" t="inlineStr">
        <is>
          <t>Actually delete/corrupt a staging DB copy and restore from the S5-04 backup process, timed</t>
        </is>
      </c>
      <c r="E28" s="22" t="inlineStr">
        <is>
          <t>S5-04 backup runbook written</t>
        </is>
      </c>
      <c r="F28" s="22" t="inlineStr">
        <is>
          <t>Restore completes within the target RTO with data loss within the target RPO</t>
        </is>
      </c>
      <c r="G28" s="103" t="inlineStr">
        <is>
          <t>Staging</t>
        </is>
      </c>
      <c r="H28" s="103" t="inlineStr">
        <is>
          <t>Sprint 5</t>
        </is>
      </c>
      <c r="I28" s="37" t="inlineStr">
        <is>
          <t>Not Started</t>
        </is>
      </c>
      <c r="J28" s="103" t="inlineStr"/>
    </row>
    <row r="29" ht="58" customHeight="1">
      <c r="A29" s="69" t="inlineStr">
        <is>
          <t>F</t>
        </is>
      </c>
      <c r="B29" s="103" t="inlineStr">
        <is>
          <t>Tenant-Deletion Completeness Test</t>
        </is>
      </c>
      <c r="C29" s="22" t="inlineStr">
        <is>
          <t>Deleting a tenant removes 100% of their data (DB + files), nothing orphaned</t>
        </is>
      </c>
      <c r="D29" s="22" t="inlineStr">
        <is>
          <t>Create a tenant with data in every collection incl. brain_context/brain_documents/files, delete it, verify zero remaining rows/files</t>
        </is>
      </c>
      <c r="E29" s="22" t="inlineStr">
        <is>
          <t>S2-02 Done</t>
        </is>
      </c>
      <c r="F29" s="22" t="inlineStr">
        <is>
          <t>Zero rows or files remain referencing the deleted tenant_id anywhere</t>
        </is>
      </c>
      <c r="G29" s="103" t="inlineStr">
        <is>
          <t>Staging</t>
        </is>
      </c>
      <c r="H29" s="103" t="inlineStr">
        <is>
          <t>Sprint 2</t>
        </is>
      </c>
      <c r="I29" s="37" t="inlineStr">
        <is>
          <t>Not Started</t>
        </is>
      </c>
      <c r="J29" s="103" t="inlineStr"/>
    </row>
    <row r="30" ht="58" customHeight="1">
      <c r="A30" s="70" t="inlineStr">
        <is>
          <t>G</t>
        </is>
      </c>
      <c r="B30" s="103" t="inlineStr">
        <is>
          <t>Internal Alpha Testing</t>
        </is>
      </c>
      <c r="C30" s="22" t="inlineStr">
        <is>
          <t>The team itself can run real day-to-day operations on the product without a P0/P1 bug surfacing</t>
        </is>
      </c>
      <c r="D30" s="22" t="inlineStr">
        <is>
          <t>Internal team + demo data, every module used daily for the alpha window</t>
        </is>
      </c>
      <c r="E30" s="22" t="inlineStr">
        <is>
          <t>Sprint 0 + Sprint 1 P0 all Done; automated suite green</t>
        </is>
      </c>
      <c r="F30" s="22" t="inlineStr">
        <is>
          <t>Zero open P0/P1 bugs after the alpha window; baseline load test passed</t>
        </is>
      </c>
      <c r="G30" s="103" t="inlineStr">
        <is>
          <t>Staging (alpha)</t>
        </is>
      </c>
      <c r="H30" s="103" t="inlineStr">
        <is>
          <t>After Sprint 1</t>
        </is>
      </c>
      <c r="I30" s="37" t="inlineStr">
        <is>
          <t>Not Started</t>
        </is>
      </c>
      <c r="J30" s="103" t="inlineStr"/>
    </row>
    <row r="31" ht="58" customHeight="1">
      <c r="A31" s="71" t="inlineStr">
        <is>
          <t>H</t>
        </is>
      </c>
      <c r="B31" s="103" t="inlineStr">
        <is>
          <t>Closed Beta — Design Partners</t>
        </is>
      </c>
      <c r="C31" s="22" t="inlineStr">
        <is>
          <t>A small set of REAL external tenants (ideally incl. a non-textile business) run real operations and the product holds up without hand-holding beyond normal support</t>
        </is>
      </c>
      <c r="D31" s="22" t="inlineStr">
        <is>
          <t>3-5 hand-picked design-partner tenants, high-touch support, 2-4 weeks, daily monitoring</t>
        </is>
      </c>
      <c r="E31" s="22" t="inlineStr">
        <is>
          <t>Alpha exit criteria met; Sprint 2 + Sprint 3 Done; backup/restore drill passed</t>
        </is>
      </c>
      <c r="F31" s="22" t="inlineStr">
        <is>
          <t>No P0 incidents; majority of design partners show daily active usage; tenant isolation matrix 100% pass with real data; at least 1 non-textile tenant validates the workflow fix</t>
        </is>
      </c>
      <c r="G31" s="103" t="inlineStr">
        <is>
          <t>Production (limited)</t>
        </is>
      </c>
      <c r="H31" s="103" t="inlineStr">
        <is>
          <t>After Sprint 3</t>
        </is>
      </c>
      <c r="I31" s="37" t="inlineStr">
        <is>
          <t>Not Started</t>
        </is>
      </c>
      <c r="J31" s="103" t="inlineStr"/>
    </row>
    <row r="32" ht="58" customHeight="1">
      <c r="A32" s="72" t="inlineStr">
        <is>
          <t>I</t>
        </is>
      </c>
      <c r="B32" s="103" t="inlineStr">
        <is>
          <t>Staged Open Beta</t>
        </is>
      </c>
      <c r="C32" s="22" t="inlineStr">
        <is>
          <t>Controlled expansion in tiers with a monitoring checkpoint before each step, so a problem is caught at 10 tenants, not 100</t>
        </is>
      </c>
      <c r="D32" s="22" t="inlineStr">
        <is>
          <t>Expand 10 -&gt; 30 -&gt; 50 tenants; hold at each tier for a monitoring window before advancing (ties to S5-09)</t>
        </is>
      </c>
      <c r="E32" s="22" t="inlineStr">
        <is>
          <t>Closed Beta exit criteria met; Sprint 5 Done (load test, observability, migration dry-run)</t>
        </is>
      </c>
      <c r="F32" s="22" t="inlineStr">
        <is>
          <t>Error rate + latency within SLO at every tier; no scheduler double-fire or cross-tenant incident observed; support volume stays manageable</t>
        </is>
      </c>
      <c r="G32" s="103" t="inlineStr">
        <is>
          <t>Production</t>
        </is>
      </c>
      <c r="H32" s="103" t="inlineStr">
        <is>
          <t>Sprint 5</t>
        </is>
      </c>
      <c r="I32" s="37" t="inlineStr">
        <is>
          <t>Not Started</t>
        </is>
      </c>
      <c r="J32" s="103" t="inlineStr"/>
    </row>
    <row r="33" ht="58" customHeight="1">
      <c r="A33" s="73" t="inlineStr">
        <is>
          <t>J</t>
        </is>
      </c>
      <c r="B33" s="103" t="inlineStr">
        <is>
          <t>General Availability / Self-Serve Launch</t>
        </is>
      </c>
      <c r="C33" s="22" t="inlineStr">
        <is>
          <t>The product is ready for unassisted signup at the full target scale</t>
        </is>
      </c>
      <c r="D33" s="22" t="inlineStr">
        <is>
          <t>Open self-serve signup; remove any beta gating</t>
        </is>
      </c>
      <c r="E33" s="22" t="inlineStr">
        <is>
          <t>Staged Beta exit criteria met; Go-Live Checklist 100% TRUE; final go/no-go held (S5-10)</t>
        </is>
      </c>
      <c r="F33" s="22" t="inlineStr">
        <is>
          <t>Sustained SLA at ~100-tenant traffic with no open P0s for a full monitoring cycle</t>
        </is>
      </c>
      <c r="G33" s="103" t="inlineStr">
        <is>
          <t>Production</t>
        </is>
      </c>
      <c r="H33" s="103" t="inlineStr">
        <is>
          <t>After Sprint 5</t>
        </is>
      </c>
      <c r="I33" s="37" t="inlineStr">
        <is>
          <t>Not Started</t>
        </is>
      </c>
      <c r="J33" s="103" t="inlineStr"/>
    </row>
    <row r="35">
      <c r="A35" s="57" t="inlineStr">
        <is>
          <t>Phase key:</t>
        </is>
      </c>
    </row>
    <row r="36">
      <c r="A36" s="74" t="inlineStr">
        <is>
          <t>A</t>
        </is>
      </c>
      <c r="B36" s="75" t="inlineStr">
        <is>
          <t>Automated (Unit/Integration/Regression)</t>
        </is>
      </c>
    </row>
    <row r="37">
      <c r="A37" s="76" t="inlineStr">
        <is>
          <t>B</t>
        </is>
      </c>
      <c r="B37" s="75" t="inlineStr">
        <is>
          <t>Multi-Tenant Isolation</t>
        </is>
      </c>
    </row>
    <row r="38">
      <c r="A38" s="77" t="inlineStr">
        <is>
          <t>C</t>
        </is>
      </c>
      <c r="B38" s="75" t="inlineStr">
        <is>
          <t>Security / Pentest</t>
        </is>
      </c>
    </row>
    <row r="39">
      <c r="A39" s="78" t="inlineStr">
        <is>
          <t>D</t>
        </is>
      </c>
      <c r="B39" s="75" t="inlineStr">
        <is>
          <t>Load &amp; Performance</t>
        </is>
      </c>
    </row>
    <row r="40">
      <c r="A40" s="79" t="inlineStr">
        <is>
          <t>E</t>
        </is>
      </c>
      <c r="B40" s="75" t="inlineStr">
        <is>
          <t>Resilience / Concurrency / Chaos</t>
        </is>
      </c>
    </row>
    <row r="41">
      <c r="A41" s="80" t="inlineStr">
        <is>
          <t>F</t>
        </is>
      </c>
      <c r="B41" s="75" t="inlineStr">
        <is>
          <t>Migration &amp; Backup/DR</t>
        </is>
      </c>
    </row>
    <row r="42">
      <c r="A42" s="81" t="inlineStr">
        <is>
          <t>G</t>
        </is>
      </c>
      <c r="B42" s="75" t="inlineStr">
        <is>
          <t>Internal Alpha</t>
        </is>
      </c>
    </row>
    <row r="43">
      <c r="A43" s="82" t="inlineStr">
        <is>
          <t>H</t>
        </is>
      </c>
      <c r="B43" s="75" t="inlineStr">
        <is>
          <t>Closed Beta</t>
        </is>
      </c>
    </row>
    <row r="44">
      <c r="A44" s="83" t="inlineStr">
        <is>
          <t>I</t>
        </is>
      </c>
      <c r="B44" s="75" t="inlineStr">
        <is>
          <t>Staged Open Beta</t>
        </is>
      </c>
    </row>
    <row r="45">
      <c r="A45" s="84" t="inlineStr">
        <is>
          <t>J</t>
        </is>
      </c>
      <c r="B45" s="75" t="inlineStr">
        <is>
          <t>General Availability</t>
        </is>
      </c>
    </row>
  </sheetData>
  <mergeCells count="12">
    <mergeCell ref="A2:F2"/>
    <mergeCell ref="B42:D42"/>
    <mergeCell ref="B36:D36"/>
    <mergeCell ref="B37:D37"/>
    <mergeCell ref="B45:D45"/>
    <mergeCell ref="B41:D41"/>
    <mergeCell ref="A1:F1"/>
    <mergeCell ref="B40:D40"/>
    <mergeCell ref="B44:D44"/>
    <mergeCell ref="B43:D43"/>
    <mergeCell ref="B39:D39"/>
    <mergeCell ref="B38:D38"/>
  </mergeCells>
  <conditionalFormatting sqref="I13:I33">
    <cfRule type="cellIs" priority="1" operator="equal" dxfId="2">
      <formula>"Not Started"</formula>
    </cfRule>
    <cfRule type="cellIs" priority="2" operator="equal" dxfId="4">
      <formula>"In Progress"</formula>
    </cfRule>
    <cfRule type="cellIs" priority="3" operator="equal" dxfId="7">
      <formula>"Passed"</formula>
    </cfRule>
    <cfRule type="cellIs" priority="4" operator="equal" dxfId="5">
      <formula>"Failed"</formula>
    </cfRule>
    <cfRule type="cellIs" priority="5" operator="equal" dxfId="5">
      <formula>"Blocked"</formula>
    </cfRule>
  </conditionalFormatting>
  <dataValidations count="1">
    <dataValidation sqref="I13:I33" showDropDown="0" showInputMessage="0" showErrorMessage="0" allowBlank="0" type="list">
      <formula1>"Not Started,In Progress,Passed,Failed,Blocked"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4">
      <c r="A4" s="85" t="inlineStr">
        <is>
          <t>Area</t>
        </is>
      </c>
      <c r="B4" s="85" t="inlineStr">
        <is>
          <t>Checklist item</t>
        </is>
      </c>
      <c r="C4" s="85" t="inlineStr">
        <is>
          <t>Verified in</t>
        </is>
      </c>
      <c r="D4" s="85" t="inlineStr">
        <is>
          <t>Done?</t>
        </is>
      </c>
    </row>
    <row r="5" ht="28" customHeight="1">
      <c r="A5" s="86" t="inlineStr">
        <is>
          <t>Security</t>
        </is>
      </c>
      <c r="B5" s="22" t="inlineStr">
        <is>
          <t>All Sprint 0 P0 items closed and verified (not just coded)</t>
        </is>
      </c>
      <c r="C5" s="87" t="inlineStr">
        <is>
          <t>Sprint 0</t>
        </is>
      </c>
      <c r="D5" s="88" t="inlineStr">
        <is>
          <t>FALSE</t>
        </is>
      </c>
    </row>
    <row r="6" ht="28" customHeight="1">
      <c r="A6" s="86" t="inlineStr">
        <is>
          <t>Security</t>
        </is>
      </c>
      <c r="B6" s="22" t="inlineStr">
        <is>
          <t>Secrets rotated out of .env into a real secrets manager</t>
        </is>
      </c>
      <c r="C6" s="89" t="inlineStr">
        <is>
          <t>Sprint 5</t>
        </is>
      </c>
      <c r="D6" s="88" t="inlineStr">
        <is>
          <t>FALSE</t>
        </is>
      </c>
    </row>
    <row r="7" ht="28" customHeight="1">
      <c r="A7" s="86" t="inlineStr">
        <is>
          <t>Scale</t>
        </is>
      </c>
      <c r="B7" s="22" t="inlineStr">
        <is>
          <t>Follow-up scheduler runs as a single external job, not in-process</t>
        </is>
      </c>
      <c r="C7" s="90" t="inlineStr">
        <is>
          <t>Sprint 1</t>
        </is>
      </c>
      <c r="D7" s="88" t="inlineStr">
        <is>
          <t>FALSE</t>
        </is>
      </c>
    </row>
    <row r="8" ht="28" customHeight="1">
      <c r="A8" s="86" t="inlineStr">
        <is>
          <t>Scale</t>
        </is>
      </c>
      <c r="B8" s="22" t="inlineStr">
        <is>
          <t>All file uploads route through obj_store; local-disk path removed</t>
        </is>
      </c>
      <c r="C8" s="90" t="inlineStr">
        <is>
          <t>Sprint 1</t>
        </is>
      </c>
      <c r="D8" s="88" t="inlineStr">
        <is>
          <t>FALSE</t>
        </is>
      </c>
    </row>
    <row r="9" ht="28" customHeight="1">
      <c r="A9" s="86" t="inlineStr">
        <is>
          <t>Scale</t>
        </is>
      </c>
      <c r="B9" s="22" t="inlineStr">
        <is>
          <t>Real Dockerfile/Procfile committed with pinned worker count</t>
        </is>
      </c>
      <c r="C9" s="90" t="inlineStr">
        <is>
          <t>Sprint 1</t>
        </is>
      </c>
      <c r="D9" s="88" t="inlineStr">
        <is>
          <t>FALSE</t>
        </is>
      </c>
    </row>
    <row r="10" ht="28" customHeight="1">
      <c r="A10" s="86" t="inlineStr">
        <is>
          <t>Scale</t>
        </is>
      </c>
      <c r="B10" s="22" t="inlineStr">
        <is>
          <t>LLM calls have timeouts + a concurrency limit</t>
        </is>
      </c>
      <c r="C10" s="90" t="inlineStr">
        <is>
          <t>Sprint 1</t>
        </is>
      </c>
      <c r="D10" s="88" t="inlineStr">
        <is>
          <t>FALSE</t>
        </is>
      </c>
    </row>
    <row r="11" ht="28" customHeight="1">
      <c r="A11" s="86" t="inlineStr">
        <is>
          <t>Multi-tenant</t>
        </is>
      </c>
      <c r="B11" s="22" t="inlineStr">
        <is>
          <t>Dynamic workflow approval loop works for a non-textile tenant</t>
        </is>
      </c>
      <c r="C11" s="90" t="inlineStr">
        <is>
          <t>Sprint 1</t>
        </is>
      </c>
      <c r="D11" s="88" t="inlineStr">
        <is>
          <t>FALSE</t>
        </is>
      </c>
    </row>
    <row r="12" ht="28" customHeight="1">
      <c r="A12" s="86" t="inlineStr">
        <is>
          <t>Multi-tenant</t>
        </is>
      </c>
      <c r="B12" s="22" t="inlineStr">
        <is>
          <t>OTP login + WhatsApp routing are tenant-scoped</t>
        </is>
      </c>
      <c r="C12" s="91" t="inlineStr">
        <is>
          <t>Sprint 2</t>
        </is>
      </c>
      <c r="D12" s="88" t="inlineStr">
        <is>
          <t>FALSE</t>
        </is>
      </c>
    </row>
    <row r="13" ht="28" customHeight="1">
      <c r="A13" s="86" t="inlineStr">
        <is>
          <t>Multi-tenant</t>
        </is>
      </c>
      <c r="B13" s="22" t="inlineStr">
        <is>
          <t>Tenant deletion removes ALL tenant data incl. files</t>
        </is>
      </c>
      <c r="C13" s="91" t="inlineStr">
        <is>
          <t>Sprint 2</t>
        </is>
      </c>
      <c r="D13" s="88" t="inlineStr">
        <is>
          <t>FALSE</t>
        </is>
      </c>
    </row>
    <row r="14" ht="28" customHeight="1">
      <c r="A14" s="86" t="inlineStr">
        <is>
          <t>Billing</t>
        </is>
      </c>
      <c r="B14" s="22" t="inlineStr">
        <is>
          <t>Real payment provider integrated (Stripe/Razorpay)</t>
        </is>
      </c>
      <c r="C14" s="92" t="inlineStr">
        <is>
          <t>Sprint 3</t>
        </is>
      </c>
      <c r="D14" s="88" t="inlineStr">
        <is>
          <t>FALSE</t>
        </is>
      </c>
    </row>
    <row r="15" ht="28" customHeight="1">
      <c r="A15" s="86" t="inlineStr">
        <is>
          <t>Billing</t>
        </is>
      </c>
      <c r="B15" s="22" t="inlineStr">
        <is>
          <t>Per-tenant AI key isolation with usage quota enforcement</t>
        </is>
      </c>
      <c r="C15" s="92" t="inlineStr">
        <is>
          <t>Sprint 3</t>
        </is>
      </c>
      <c r="D15" s="88" t="inlineStr">
        <is>
          <t>FALSE</t>
        </is>
      </c>
    </row>
    <row r="16" ht="28" customHeight="1">
      <c r="A16" s="86" t="inlineStr">
        <is>
          <t>Billing</t>
        </is>
      </c>
      <c r="B16" s="22" t="inlineStr">
        <is>
          <t>Plan / entitlement fields exist on every tenant</t>
        </is>
      </c>
      <c r="C16" s="92" t="inlineStr">
        <is>
          <t>Sprint 3</t>
        </is>
      </c>
      <c r="D16" s="88" t="inlineStr">
        <is>
          <t>FALSE</t>
        </is>
      </c>
    </row>
    <row r="17" ht="28" customHeight="1">
      <c r="A17" s="86" t="inlineStr">
        <is>
          <t>Ops</t>
        </is>
      </c>
      <c r="B17" s="22" t="inlineStr">
        <is>
          <t>Staging environment mirrors production</t>
        </is>
      </c>
      <c r="C17" s="89" t="inlineStr">
        <is>
          <t>Sprint 5</t>
        </is>
      </c>
      <c r="D17" s="88" t="inlineStr">
        <is>
          <t>FALSE</t>
        </is>
      </c>
    </row>
    <row r="18" ht="28" customHeight="1">
      <c r="A18" s="86" t="inlineStr">
        <is>
          <t>Ops</t>
        </is>
      </c>
      <c r="B18" s="22" t="inlineStr">
        <is>
          <t>Load test completed at ~100-tenant equivalent traffic</t>
        </is>
      </c>
      <c r="C18" s="89" t="inlineStr">
        <is>
          <t>Sprint 5</t>
        </is>
      </c>
      <c r="D18" s="88" t="inlineStr">
        <is>
          <t>FALSE</t>
        </is>
      </c>
    </row>
    <row r="19" ht="28" customHeight="1">
      <c r="A19" s="86" t="inlineStr">
        <is>
          <t>Ops</t>
        </is>
      </c>
      <c r="B19" s="22" t="inlineStr">
        <is>
          <t>Sentry / error tracking is live in production</t>
        </is>
      </c>
      <c r="C19" s="89" t="inlineStr">
        <is>
          <t>Sprint 5</t>
        </is>
      </c>
      <c r="D19" s="88" t="inlineStr">
        <is>
          <t>FALSE</t>
        </is>
      </c>
    </row>
    <row r="20" ht="28" customHeight="1">
      <c r="A20" s="86" t="inlineStr">
        <is>
          <t>Ops</t>
        </is>
      </c>
      <c r="B20" s="22" t="inlineStr">
        <is>
          <t>Backup restore has been TESTED, not just documented</t>
        </is>
      </c>
      <c r="C20" s="89" t="inlineStr">
        <is>
          <t>Sprint 5</t>
        </is>
      </c>
      <c r="D20" s="88" t="inlineStr">
        <is>
          <t>FALSE</t>
        </is>
      </c>
    </row>
    <row r="21" ht="28" customHeight="1">
      <c r="A21" s="86" t="inlineStr">
        <is>
          <t>Ops</t>
        </is>
      </c>
      <c r="B21" s="22" t="inlineStr">
        <is>
          <t>Data migration for all schema changes dry-run on staging</t>
        </is>
      </c>
      <c r="C21" s="89" t="inlineStr">
        <is>
          <t>Sprint 5</t>
        </is>
      </c>
      <c r="D21" s="88" t="inlineStr">
        <is>
          <t>FALSE</t>
        </is>
      </c>
    </row>
    <row r="22" ht="28" customHeight="1">
      <c r="A22" s="86" t="inlineStr">
        <is>
          <t>Ops</t>
        </is>
      </c>
      <c r="B22" s="22" t="inlineStr">
        <is>
          <t>Rollback procedure written and rehearsed</t>
        </is>
      </c>
      <c r="C22" s="89" t="inlineStr">
        <is>
          <t>Sprint 5</t>
        </is>
      </c>
      <c r="D22" s="88" t="inlineStr">
        <is>
          <t>FALSE</t>
        </is>
      </c>
    </row>
    <row r="23" ht="28" customHeight="1">
      <c r="A23" s="86" t="inlineStr">
        <is>
          <t>Ops</t>
        </is>
      </c>
      <c r="B23" s="22" t="inlineStr">
        <is>
          <t>Staged rollout plan approved (5-&gt;20-&gt;50-&gt;100)</t>
        </is>
      </c>
      <c r="C23" s="89" t="inlineStr">
        <is>
          <t>Sprint 5</t>
        </is>
      </c>
      <c r="D23" s="88" t="inlineStr">
        <is>
          <t>FALSE</t>
        </is>
      </c>
    </row>
    <row r="24" ht="28" customHeight="1">
      <c r="A24" s="86" t="inlineStr">
        <is>
          <t>Testing</t>
        </is>
      </c>
      <c r="B24" s="22" t="inlineStr">
        <is>
          <t>Every Testing Plan phase (A-J) hit its exit criteria, incl. Closed + Staged Beta</t>
        </is>
      </c>
      <c r="C24" s="93" t="inlineStr">
        <is>
          <t>Testing Plan</t>
        </is>
      </c>
      <c r="D24" s="88" t="inlineStr">
        <is>
          <t>FALSE</t>
        </is>
      </c>
    </row>
    <row r="25" ht="28" customHeight="1">
      <c r="A25" s="86" t="inlineStr">
        <is>
          <t>Sign-off</t>
        </is>
      </c>
      <c r="B25" s="22" t="inlineStr">
        <is>
          <t>Final go/no-go review held with the full team</t>
        </is>
      </c>
      <c r="C25" s="89" t="inlineStr">
        <is>
          <t>Sprint 5</t>
        </is>
      </c>
      <c r="D25" s="88" t="inlineStr">
        <is>
          <t>FALSE</t>
        </is>
      </c>
    </row>
    <row r="27">
      <c r="A27" s="4" t="inlineStr">
        <is>
          <t>VERDICT</t>
        </is>
      </c>
      <c r="B27" s="19">
        <f>IF(COUNTIF(D5:D25,"TRUE")=COUNTA(D5:D25),"GO — cleared to sell as SaaS at scale","NOT YET — "&amp;(COUNTA(D5:D25)-COUNTIF(D5:D25,"TRUE"))&amp;" item(s) still open")</f>
        <v/>
      </c>
    </row>
  </sheetData>
  <mergeCells count="3">
    <mergeCell ref="A1:D1"/>
    <mergeCell ref="B27:D27"/>
    <mergeCell ref="A2:D2"/>
  </mergeCells>
  <conditionalFormatting sqref="D5:D25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7">
    <cfRule type="expression" priority="3" dxfId="0">
      <formula>COUNTIF($D$5:$D$25,"TRUE")=COUNTA($D$5:$D$25)</formula>
    </cfRule>
    <cfRule type="expression" priority="4" dxfId="1">
      <formula>COUNTIF($D$5:$D$25,"TRUE")&lt;COUNTA($D$5:$D$25)</formula>
    </cfRule>
  </conditionalFormatting>
  <dataValidations count="1">
    <dataValidation sqref="D5:D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2026-08-04T14:03:48Z</dcterms:created>
  <dcterms:modified xmlns:dcterms="http://purl.org/dc/terms/" xmlns:xsi="http://www.w3.org/2001/XMLSchema-instance" xsi:type="dcterms:W3CDTF">2026-08-10T08:46:42Z</dcterms:modified>
</cp:coreProperties>
</file>