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Dashboard" sheetId="2" state="visible" r:id="rId2"/>
    <sheet name="Task Backlog" sheetId="3" state="visible" r:id="rId3"/>
    <sheet name="Fix Log" sheetId="4" state="visible" r:id="rId4"/>
    <sheet name="Kanban Board" sheetId="5" state="visible" r:id="rId5"/>
    <sheet name="Testing Plan" sheetId="6" state="visible" r:id="rId6"/>
    <sheet name="Go-Live Checklist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6">
    <font>
      <name val="Calibri"/>
      <family val="2"/>
      <color theme="1"/>
      <sz val="11"/>
      <scheme val="minor"/>
    </font>
    <font>
      <name val="Arial"/>
      <b val="1"/>
      <color rgb="001F2A44"/>
      <sz val="18"/>
    </font>
    <font>
      <name val="Arial"/>
      <i val="1"/>
      <color rgb="00555555"/>
      <sz val="11"/>
    </font>
    <font>
      <name val="Arial"/>
      <color rgb="00888888"/>
      <sz val="9"/>
    </font>
    <font>
      <name val="Arial"/>
      <b val="1"/>
      <color rgb="001F2A44"/>
      <sz val="13"/>
    </font>
    <font>
      <name val="Arial"/>
      <b val="1"/>
      <color rgb="001F2A44"/>
      <sz val="10"/>
    </font>
    <font>
      <name val="Arial"/>
      <color rgb="00000000"/>
      <sz val="10"/>
    </font>
    <font>
      <name val="Arial"/>
      <b val="1"/>
      <color rgb="00C00000"/>
      <sz val="10"/>
    </font>
    <font>
      <name val="Arial"/>
      <b val="1"/>
      <color rgb="00B45F06"/>
      <sz val="10"/>
    </font>
    <font>
      <name val="Arial"/>
      <b val="1"/>
      <color rgb="00666666"/>
      <sz val="10"/>
    </font>
    <font>
      <name val="Arial"/>
      <b val="1"/>
      <color rgb="00444444"/>
      <sz val="10"/>
    </font>
    <font>
      <name val="Arial"/>
      <b val="1"/>
      <color rgb="001155CC"/>
      <sz val="10"/>
    </font>
    <font>
      <name val="Arial"/>
      <b val="1"/>
      <color rgb="0038761D"/>
      <sz val="10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C00000"/>
      <sz val="9"/>
    </font>
    <font>
      <name val="Arial"/>
      <b val="1"/>
      <color rgb="00444444"/>
      <sz val="9"/>
    </font>
    <font>
      <name val="Arial"/>
      <b val="1"/>
      <color rgb="00B45F06"/>
      <sz val="9"/>
    </font>
    <font>
      <name val="Arial"/>
      <b val="1"/>
      <color rgb="00BF9000"/>
      <sz val="9"/>
    </font>
    <font>
      <name val="Arial"/>
      <b val="1"/>
      <color rgb="00666666"/>
      <sz val="9"/>
    </font>
    <font>
      <name val="Arial"/>
      <b val="1"/>
      <color rgb="0038761D"/>
      <sz val="9"/>
    </font>
    <font>
      <name val="Arial"/>
      <b val="1"/>
      <color rgb="00351C75"/>
      <sz val="9"/>
    </font>
    <font>
      <name val="Arial"/>
      <b val="1"/>
      <color rgb="001155CC"/>
      <sz val="9"/>
    </font>
    <font>
      <name val="Arial"/>
      <i val="1"/>
      <color rgb="00555555"/>
      <sz val="10"/>
    </font>
    <font>
      <name val="Arial"/>
      <b val="1"/>
      <color rgb="00000000"/>
      <sz val="11"/>
    </font>
    <font>
      <name val="Arial"/>
      <b val="1"/>
      <sz val="12"/>
    </font>
    <font>
      <name val="Arial"/>
      <b val="1"/>
      <color rgb="00BF9000"/>
      <sz val="10"/>
    </font>
    <font>
      <name val="Arial"/>
      <b val="1"/>
      <color rgb="00888888"/>
      <sz val="9"/>
    </font>
    <font>
      <name val="Arial"/>
      <b val="1"/>
      <color rgb="00351C75"/>
      <sz val="10"/>
    </font>
    <font>
      <name val="Arial"/>
      <b val="1"/>
      <color rgb="001F2A44"/>
      <sz val="14"/>
    </font>
    <font>
      <name val="Arial"/>
      <i val="1"/>
      <color rgb="00666666"/>
      <sz val="9"/>
    </font>
    <font>
      <name val="Arial"/>
      <b val="1"/>
      <color rgb="00C00000"/>
      <sz val="8"/>
    </font>
    <font>
      <name val="Arial"/>
      <b val="1"/>
      <color rgb="00B45F06"/>
      <sz val="8"/>
    </font>
    <font>
      <name val="Arial"/>
      <color rgb="00666666"/>
      <sz val="8"/>
    </font>
    <font>
      <name val="Arial"/>
      <b val="1"/>
      <color rgb="00000000"/>
      <sz val="9"/>
    </font>
    <font>
      <name val="Arial"/>
      <b val="1"/>
      <color rgb="001F2A44"/>
      <sz val="16"/>
    </font>
    <font>
      <name val="Arial"/>
      <b val="1"/>
      <color rgb="00FFFFFF"/>
      <sz val="9"/>
    </font>
    <font>
      <name val="Arial"/>
      <b val="1"/>
      <color rgb="00FFFFFF"/>
      <sz val="11"/>
    </font>
    <font>
      <name val="Arial"/>
      <color rgb="00C00000"/>
      <sz val="9"/>
    </font>
    <font>
      <name val="Arial"/>
      <b val="1"/>
      <sz val="9"/>
    </font>
    <font>
      <name val="Arial"/>
      <color rgb="001155CC"/>
      <sz val="9"/>
    </font>
    <font>
      <name val="Arial"/>
      <color rgb="00B45F06"/>
      <sz val="9"/>
    </font>
    <font>
      <name val="Arial"/>
      <color rgb="00BF9000"/>
      <sz val="9"/>
    </font>
    <font>
      <name val="Arial"/>
      <color rgb="0038761D"/>
      <sz val="9"/>
    </font>
    <font>
      <name val="Arial"/>
      <color rgb="00555555"/>
      <sz val="9"/>
    </font>
    <font>
      <name val="Arial"/>
      <b val="1"/>
      <color rgb="00000000"/>
      <sz val="10"/>
    </font>
  </fonts>
  <fills count="22">
    <fill>
      <patternFill/>
    </fill>
    <fill>
      <patternFill patternType="gray125"/>
    </fill>
    <fill>
      <patternFill patternType="solid">
        <fgColor rgb="00F8CBCB"/>
      </patternFill>
    </fill>
    <fill>
      <patternFill patternType="solid">
        <fgColor rgb="00FCE5CD"/>
      </patternFill>
    </fill>
    <fill>
      <patternFill patternType="solid">
        <fgColor rgb="00E8E8E8"/>
      </patternFill>
    </fill>
    <fill>
      <patternFill patternType="solid">
        <fgColor rgb="00D9E7F5"/>
      </patternFill>
    </fill>
    <fill>
      <patternFill patternType="solid">
        <fgColor rgb="00FFF2CC"/>
      </patternFill>
    </fill>
    <fill>
      <patternFill patternType="solid">
        <fgColor rgb="00D9EAD3"/>
      </patternFill>
    </fill>
    <fill>
      <patternFill patternType="solid">
        <fgColor rgb="001F2A44"/>
      </patternFill>
    </fill>
    <fill>
      <patternFill patternType="solid">
        <fgColor rgb="00D9A400"/>
      </patternFill>
    </fill>
    <fill>
      <patternFill patternType="solid">
        <fgColor rgb="00E4D7F5"/>
      </patternFill>
    </fill>
    <fill>
      <patternFill patternType="solid">
        <fgColor rgb="00F2F2F2"/>
      </patternFill>
    </fill>
    <fill>
      <patternFill patternType="solid">
        <fgColor rgb="00C00000"/>
      </patternFill>
    </fill>
    <fill>
      <patternFill patternType="solid">
        <fgColor rgb="00B45F06"/>
      </patternFill>
    </fill>
    <fill>
      <patternFill patternType="solid">
        <fgColor rgb="00BF9000"/>
      </patternFill>
    </fill>
    <fill>
      <patternFill patternType="solid">
        <fgColor rgb="0038761D"/>
      </patternFill>
    </fill>
    <fill>
      <patternFill patternType="solid">
        <fgColor rgb="00351C75"/>
      </patternFill>
    </fill>
    <fill>
      <patternFill patternType="solid">
        <fgColor rgb="001155CC"/>
      </patternFill>
    </fill>
    <fill>
      <patternFill patternType="solid">
        <fgColor rgb="00990000"/>
      </patternFill>
    </fill>
    <fill>
      <patternFill patternType="solid">
        <fgColor rgb="00666666"/>
      </patternFill>
    </fill>
    <fill>
      <patternFill patternType="solid">
        <fgColor rgb="000B5394"/>
      </patternFill>
    </fill>
    <fill>
      <patternFill patternType="solid">
        <fgColor rgb="00134F5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 wrapText="1"/>
    </xf>
    <xf numFmtId="0" fontId="7" fillId="2" borderId="1" applyAlignment="1" pivotButton="0" quotePrefix="0" xfId="0">
      <alignment horizontal="center"/>
    </xf>
    <xf numFmtId="0" fontId="6" fillId="0" borderId="0" pivotButton="0" quotePrefix="0" xfId="0"/>
    <xf numFmtId="0" fontId="8" fillId="3" borderId="1" applyAlignment="1" pivotButton="0" quotePrefix="0" xfId="0">
      <alignment horizontal="center"/>
    </xf>
    <xf numFmtId="0" fontId="9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0" fontId="11" fillId="5" borderId="1" applyAlignment="1" pivotButton="0" quotePrefix="0" xfId="0">
      <alignment horizontal="center"/>
    </xf>
    <xf numFmtId="0" fontId="8" fillId="6" borderId="1" applyAlignment="1" pivotButton="0" quotePrefix="0" xfId="0">
      <alignment horizontal="center"/>
    </xf>
    <xf numFmtId="0" fontId="12" fillId="7" borderId="1" applyAlignment="1" pivotButton="0" quotePrefix="0" xfId="0">
      <alignment horizontal="center"/>
    </xf>
    <xf numFmtId="0" fontId="23" fillId="0" borderId="0" pivotButton="0" quotePrefix="0" xfId="0"/>
    <xf numFmtId="0" fontId="24" fillId="0" borderId="0" pivotButton="0" quotePrefix="0" xfId="0"/>
    <xf numFmtId="0" fontId="4" fillId="11" borderId="1" applyAlignment="1" pivotButton="0" quotePrefix="0" xfId="0">
      <alignment horizontal="center"/>
    </xf>
    <xf numFmtId="164" fontId="4" fillId="11" borderId="1" applyAlignment="1" pivotButton="0" quotePrefix="0" xfId="0">
      <alignment horizontal="center"/>
    </xf>
    <xf numFmtId="0" fontId="25" fillId="0" borderId="0" pivotButton="0" quotePrefix="0" xfId="0"/>
    <xf numFmtId="0" fontId="13" fillId="8" borderId="1" applyAlignment="1" pivotButton="0" quotePrefix="0" xfId="0">
      <alignment horizontal="center" wrapText="1"/>
    </xf>
    <xf numFmtId="0" fontId="7" fillId="2" borderId="1" pivotButton="0" quotePrefix="0" xfId="0"/>
    <xf numFmtId="0" fontId="14" fillId="0" borderId="1" applyAlignment="1" pivotButton="0" quotePrefix="0" xfId="0">
      <alignment vertical="top" wrapText="1"/>
    </xf>
    <xf numFmtId="0" fontId="15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9" fontId="6" fillId="0" borderId="1" applyAlignment="1" pivotButton="0" quotePrefix="0" xfId="0">
      <alignment horizontal="center"/>
    </xf>
    <xf numFmtId="0" fontId="8" fillId="3" borderId="1" pivotButton="0" quotePrefix="0" xfId="0"/>
    <xf numFmtId="0" fontId="26" fillId="6" borderId="1" pivotButton="0" quotePrefix="0" xfId="0"/>
    <xf numFmtId="0" fontId="27" fillId="0" borderId="1" applyAlignment="1" pivotButton="0" quotePrefix="0" xfId="0">
      <alignment horizontal="center"/>
    </xf>
    <xf numFmtId="0" fontId="12" fillId="7" borderId="1" pivotButton="0" quotePrefix="0" xfId="0"/>
    <xf numFmtId="0" fontId="28" fillId="10" borderId="1" pivotButton="0" quotePrefix="0" xfId="0"/>
    <xf numFmtId="0" fontId="11" fillId="5" borderId="1" pivotButton="0" quotePrefix="0" xfId="0"/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vertical="top"/>
    </xf>
    <xf numFmtId="0" fontId="15" fillId="2" borderId="1" applyAlignment="1" pivotButton="0" quotePrefix="0" xfId="0">
      <alignment vertical="top"/>
    </xf>
    <xf numFmtId="0" fontId="15" fillId="2" borderId="1" applyAlignment="1" pivotButton="0" quotePrefix="0" xfId="0">
      <alignment horizontal="center"/>
    </xf>
    <xf numFmtId="0" fontId="16" fillId="4" borderId="1" applyAlignment="1" pivotButton="0" quotePrefix="0" xfId="0">
      <alignment horizontal="center"/>
    </xf>
    <xf numFmtId="0" fontId="17" fillId="3" borderId="1" applyAlignment="1" pivotButton="0" quotePrefix="0" xfId="0">
      <alignment horizontal="center"/>
    </xf>
    <xf numFmtId="0" fontId="17" fillId="3" borderId="1" applyAlignment="1" pivotButton="0" quotePrefix="0" xfId="0">
      <alignment vertical="top"/>
    </xf>
    <xf numFmtId="0" fontId="18" fillId="6" borderId="1" applyAlignment="1" pivotButton="0" quotePrefix="0" xfId="0">
      <alignment vertical="top"/>
    </xf>
    <xf numFmtId="0" fontId="3" fillId="0" borderId="1" applyAlignment="1" pivotButton="0" quotePrefix="0" xfId="0">
      <alignment horizontal="center"/>
    </xf>
    <xf numFmtId="0" fontId="19" fillId="4" borderId="1" applyAlignment="1" pivotButton="0" quotePrefix="0" xfId="0">
      <alignment horizontal="center"/>
    </xf>
    <xf numFmtId="0" fontId="20" fillId="7" borderId="1" applyAlignment="1" pivotButton="0" quotePrefix="0" xfId="0">
      <alignment vertical="top"/>
    </xf>
    <xf numFmtId="0" fontId="21" fillId="10" borderId="1" applyAlignment="1" pivotButton="0" quotePrefix="0" xfId="0">
      <alignment vertical="top"/>
    </xf>
    <xf numFmtId="0" fontId="22" fillId="5" borderId="1" applyAlignment="1" pivotButton="0" quotePrefix="0" xfId="0">
      <alignment vertical="top"/>
    </xf>
    <xf numFmtId="0" fontId="29" fillId="0" borderId="0" pivotButton="0" quotePrefix="0" xfId="0"/>
    <xf numFmtId="0" fontId="30" fillId="0" borderId="0" pivotButton="0" quotePrefix="0" xfId="0"/>
    <xf numFmtId="0" fontId="13" fillId="12" borderId="1" applyAlignment="1" pivotButton="0" quotePrefix="0" xfId="0">
      <alignment horizontal="center" vertical="center" wrapText="1"/>
    </xf>
    <xf numFmtId="0" fontId="13" fillId="13" borderId="1" applyAlignment="1" pivotButton="0" quotePrefix="0" xfId="0">
      <alignment horizontal="center" vertical="center" wrapText="1"/>
    </xf>
    <xf numFmtId="0" fontId="13" fillId="14" borderId="1" applyAlignment="1" pivotButton="0" quotePrefix="0" xfId="0">
      <alignment horizontal="center" vertical="center" wrapText="1"/>
    </xf>
    <xf numFmtId="0" fontId="13" fillId="15" borderId="1" applyAlignment="1" pivotButton="0" quotePrefix="0" xfId="0">
      <alignment horizontal="center" vertical="center" wrapText="1"/>
    </xf>
    <xf numFmtId="0" fontId="13" fillId="16" borderId="1" applyAlignment="1" pivotButton="0" quotePrefix="0" xfId="0">
      <alignment horizontal="center" vertical="center" wrapText="1"/>
    </xf>
    <xf numFmtId="0" fontId="13" fillId="17" borderId="1" applyAlignment="1" pivotButton="0" quotePrefix="0" xfId="0">
      <alignment horizontal="center" vertical="center" wrapText="1"/>
    </xf>
    <xf numFmtId="0" fontId="31" fillId="2" borderId="1" applyAlignment="1" pivotButton="0" quotePrefix="0" xfId="0">
      <alignment horizontal="left" vertical="top" wrapText="1"/>
    </xf>
    <xf numFmtId="0" fontId="32" fillId="3" borderId="1" applyAlignment="1" pivotButton="0" quotePrefix="0" xfId="0">
      <alignment horizontal="left" vertical="top" wrapText="1"/>
    </xf>
    <xf numFmtId="0" fontId="33" fillId="4" borderId="1" applyAlignment="1" pivotButton="0" quotePrefix="0" xfId="0">
      <alignment horizontal="left" vertical="top" wrapText="1"/>
    </xf>
    <xf numFmtId="0" fontId="34" fillId="0" borderId="0" pivotButton="0" quotePrefix="0" xfId="0"/>
    <xf numFmtId="0" fontId="15" fillId="2" borderId="1" pivotButton="0" quotePrefix="0" xfId="0"/>
    <xf numFmtId="0" fontId="17" fillId="3" borderId="1" pivotButton="0" quotePrefix="0" xfId="0"/>
    <xf numFmtId="0" fontId="19" fillId="4" borderId="1" pivotButton="0" quotePrefix="0" xfId="0"/>
    <xf numFmtId="0" fontId="35" fillId="0" borderId="0" pivotButton="0" quotePrefix="0" xfId="0"/>
    <xf numFmtId="0" fontId="36" fillId="8" borderId="1" applyAlignment="1" pivotButton="0" quotePrefix="0" xfId="0">
      <alignment horizontal="center" vertical="center" wrapText="1"/>
    </xf>
    <xf numFmtId="0" fontId="36" fillId="9" borderId="1" applyAlignment="1" pivotButton="0" quotePrefix="0" xfId="0">
      <alignment horizontal="center" vertical="center" wrapText="1"/>
    </xf>
    <xf numFmtId="0" fontId="37" fillId="17" borderId="1" applyAlignment="1" pivotButton="0" quotePrefix="0" xfId="0">
      <alignment horizontal="center" vertical="center"/>
    </xf>
    <xf numFmtId="0" fontId="37" fillId="12" borderId="1" applyAlignment="1" pivotButton="0" quotePrefix="0" xfId="0">
      <alignment horizontal="center" vertical="center"/>
    </xf>
    <xf numFmtId="0" fontId="37" fillId="18" borderId="1" applyAlignment="1" pivotButton="0" quotePrefix="0" xfId="0">
      <alignment horizontal="center" vertical="center"/>
    </xf>
    <xf numFmtId="0" fontId="37" fillId="13" borderId="1" applyAlignment="1" pivotButton="0" quotePrefix="0" xfId="0">
      <alignment horizontal="center" vertical="center"/>
    </xf>
    <xf numFmtId="0" fontId="37" fillId="14" borderId="1" applyAlignment="1" pivotButton="0" quotePrefix="0" xfId="0">
      <alignment horizontal="center" vertical="center"/>
    </xf>
    <xf numFmtId="0" fontId="37" fillId="15" borderId="1" applyAlignment="1" pivotButton="0" quotePrefix="0" xfId="0">
      <alignment horizontal="center" vertical="center"/>
    </xf>
    <xf numFmtId="0" fontId="37" fillId="19" borderId="1" applyAlignment="1" pivotButton="0" quotePrefix="0" xfId="0">
      <alignment horizontal="center" vertical="center"/>
    </xf>
    <xf numFmtId="0" fontId="37" fillId="16" borderId="1" applyAlignment="1" pivotButton="0" quotePrefix="0" xfId="0">
      <alignment horizontal="center" vertical="center"/>
    </xf>
    <xf numFmtId="0" fontId="37" fillId="20" borderId="1" applyAlignment="1" pivotButton="0" quotePrefix="0" xfId="0">
      <alignment horizontal="center" vertical="center"/>
    </xf>
    <xf numFmtId="0" fontId="37" fillId="21" borderId="1" applyAlignment="1" pivotButton="0" quotePrefix="0" xfId="0">
      <alignment horizontal="center" vertical="center"/>
    </xf>
    <xf numFmtId="0" fontId="13" fillId="17" borderId="1" applyAlignment="1" pivotButton="0" quotePrefix="0" xfId="0">
      <alignment horizontal="center"/>
    </xf>
    <xf numFmtId="0" fontId="14" fillId="0" borderId="0" pivotButton="0" quotePrefix="0" xfId="0"/>
    <xf numFmtId="0" fontId="13" fillId="12" borderId="1" applyAlignment="1" pivotButton="0" quotePrefix="0" xfId="0">
      <alignment horizontal="center"/>
    </xf>
    <xf numFmtId="0" fontId="13" fillId="18" borderId="1" applyAlignment="1" pivotButton="0" quotePrefix="0" xfId="0">
      <alignment horizontal="center"/>
    </xf>
    <xf numFmtId="0" fontId="13" fillId="13" borderId="1" applyAlignment="1" pivotButton="0" quotePrefix="0" xfId="0">
      <alignment horizontal="center"/>
    </xf>
    <xf numFmtId="0" fontId="13" fillId="14" borderId="1" applyAlignment="1" pivotButton="0" quotePrefix="0" xfId="0">
      <alignment horizontal="center"/>
    </xf>
    <xf numFmtId="0" fontId="13" fillId="15" borderId="1" applyAlignment="1" pivotButton="0" quotePrefix="0" xfId="0">
      <alignment horizontal="center"/>
    </xf>
    <xf numFmtId="0" fontId="13" fillId="19" borderId="1" applyAlignment="1" pivotButton="0" quotePrefix="0" xfId="0">
      <alignment horizontal="center"/>
    </xf>
    <xf numFmtId="0" fontId="13" fillId="16" borderId="1" applyAlignment="1" pivotButton="0" quotePrefix="0" xfId="0">
      <alignment horizontal="center"/>
    </xf>
    <xf numFmtId="0" fontId="13" fillId="20" borderId="1" applyAlignment="1" pivotButton="0" quotePrefix="0" xfId="0">
      <alignment horizontal="center"/>
    </xf>
    <xf numFmtId="0" fontId="13" fillId="21" borderId="1" applyAlignment="1" pivotButton="0" quotePrefix="0" xfId="0">
      <alignment horizontal="center"/>
    </xf>
    <xf numFmtId="0" fontId="13" fillId="8" borderId="1" applyAlignment="1" pivotButton="0" quotePrefix="0" xfId="0">
      <alignment horizontal="center"/>
    </xf>
    <xf numFmtId="0" fontId="34" fillId="0" borderId="1" pivotButton="0" quotePrefix="0" xfId="0"/>
    <xf numFmtId="0" fontId="38" fillId="0" borderId="1" pivotButton="0" quotePrefix="0" xfId="0"/>
    <xf numFmtId="0" fontId="39" fillId="0" borderId="1" applyAlignment="1" pivotButton="0" quotePrefix="0" xfId="0">
      <alignment horizontal="center"/>
    </xf>
    <xf numFmtId="0" fontId="40" fillId="0" borderId="1" pivotButton="0" quotePrefix="0" xfId="0"/>
    <xf numFmtId="0" fontId="41" fillId="0" borderId="1" pivotButton="0" quotePrefix="0" xfId="0"/>
    <xf numFmtId="0" fontId="42" fillId="0" borderId="1" pivotButton="0" quotePrefix="0" xfId="0"/>
    <xf numFmtId="0" fontId="43" fillId="0" borderId="1" pivotButton="0" quotePrefix="0" xfId="0"/>
    <xf numFmtId="0" fontId="44" fillId="0" borderId="1" pivotButton="0" quotePrefix="0" xfId="0"/>
    <xf numFmtId="0" fontId="45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14" fillId="0" borderId="1" applyAlignment="1" pivotButton="0" quotePrefix="0" xfId="0">
      <alignment vertical="top"/>
    </xf>
    <xf numFmtId="0" fontId="14" fillId="0" borderId="0" applyAlignment="1" pivotButton="0" quotePrefix="0" xfId="0">
      <alignment vertical="top" wrapText="1"/>
    </xf>
    <xf numFmtId="0" fontId="22" fillId="5" borderId="1" applyAlignment="1" pivotButton="0" quotePrefix="0" xfId="0">
      <alignment horizontal="center"/>
    </xf>
    <xf numFmtId="0" fontId="17" fillId="6" borderId="1" applyAlignment="1" pivotButton="0" quotePrefix="0" xfId="0">
      <alignment horizontal="center"/>
    </xf>
    <xf numFmtId="0" fontId="21" fillId="10" borderId="1" applyAlignment="1" pivotButton="0" quotePrefix="0" xfId="0">
      <alignment horizontal="center"/>
    </xf>
    <xf numFmtId="0" fontId="20" fillId="7" borderId="1" applyAlignment="1" pivotButton="0" quotePrefix="0" xfId="0">
      <alignment horizontal="center"/>
    </xf>
  </cellXfs>
  <cellStyles count="1">
    <cellStyle name="Normal" xfId="0" builtinId="0" hidden="0"/>
  </cellStyles>
  <dxfs count="9">
    <dxf>
      <font>
        <name val="Arial"/>
        <b val="1"/>
        <color rgb="0038761D"/>
      </font>
      <fill>
        <patternFill patternType="solid">
          <fgColor rgb="00D9EAD3"/>
        </patternFill>
      </fill>
    </dxf>
    <dxf>
      <font>
        <name val="Arial"/>
        <b val="1"/>
        <color rgb="00C00000"/>
      </font>
      <fill>
        <patternFill patternType="solid">
          <fgColor rgb="00F8CBCB"/>
        </patternFill>
      </fill>
    </dxf>
    <dxf>
      <font>
        <name val="Arial"/>
        <b val="1"/>
        <color rgb="00444444"/>
        <sz val="9"/>
      </font>
      <fill>
        <patternFill patternType="solid">
          <fgColor rgb="00E8E8E8"/>
        </patternFill>
      </fill>
    </dxf>
    <dxf>
      <font>
        <name val="Arial"/>
        <b val="1"/>
        <color rgb="001155CC"/>
        <sz val="9"/>
      </font>
      <fill>
        <patternFill patternType="solid">
          <fgColor rgb="00D9E7F5"/>
        </patternFill>
      </fill>
    </dxf>
    <dxf>
      <font>
        <name val="Arial"/>
        <b val="1"/>
        <color rgb="00B45F06"/>
        <sz val="9"/>
      </font>
      <fill>
        <patternFill patternType="solid">
          <fgColor rgb="00FFF2CC"/>
        </patternFill>
      </fill>
    </dxf>
    <dxf>
      <font>
        <name val="Arial"/>
        <b val="1"/>
        <color rgb="00C00000"/>
        <sz val="9"/>
      </font>
      <fill>
        <patternFill patternType="solid">
          <fgColor rgb="00F8CBCB"/>
        </patternFill>
      </fill>
    </dxf>
    <dxf>
      <font>
        <name val="Arial"/>
        <b val="1"/>
        <color rgb="00B45F06"/>
        <sz val="9"/>
      </font>
      <fill>
        <patternFill patternType="solid">
          <fgColor rgb="00FCE5CD"/>
        </patternFill>
      </fill>
    </dxf>
    <dxf>
      <font>
        <name val="Arial"/>
        <b val="1"/>
        <color rgb="0038761D"/>
        <sz val="9"/>
      </font>
      <fill>
        <patternFill patternType="solid">
          <fgColor rgb="00D9EAD3"/>
        </patternFill>
      </fill>
    </dxf>
    <dxf>
      <font>
        <name val="Arial"/>
        <b val="1"/>
        <color rgb="00351C75"/>
        <sz val="9"/>
      </font>
      <fill>
        <patternFill patternType="solid">
          <fgColor rgb="00E4D7F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90" customWidth="1" min="2" max="2"/>
  </cols>
  <sheetData>
    <row r="1">
      <c r="A1" s="1" t="inlineStr">
        <is>
          <t>DecisionOS -&gt; SaaS-Stable Tracker</t>
        </is>
      </c>
    </row>
    <row r="2">
      <c r="A2" s="2" t="inlineStr">
        <is>
          <t>Sprint plan + Kanban board covering every fix from the backend, schema/scale, and AI/Brain reviews, ending in DevOps + Data Migration.</t>
        </is>
      </c>
    </row>
    <row r="3">
      <c r="A3" s="3" t="inlineStr">
        <is>
          <t>Generated 2026-08-04 · Branch: Backend_optimization · Source docs: docs/BACKEND_SAAS_READINESS_REVIEW.md, docs/BACKEND_SCHEMA_SCALE_GOLIVE_REVIEW.md, docs/AI_BRAIN_AGENTIC_REVIEW.md</t>
        </is>
      </c>
    </row>
    <row r="5">
      <c r="A5" s="4" t="inlineStr">
        <is>
          <t>How to use this workbook</t>
        </is>
      </c>
    </row>
    <row r="6" ht="30" customHeight="1">
      <c r="A6" s="5" t="inlineStr">
        <is>
          <t>•</t>
        </is>
      </c>
      <c r="B6" s="6" t="inlineStr">
        <is>
          <t>Dashboard — live rollup of every sprint AND the Testing Plan: task counts, % complete, open P0s, and the overall go-live gate status. All formulas — edit Status on Task Backlog / Testing Plan and this updates itself.</t>
        </is>
      </c>
    </row>
    <row r="7" ht="30" customHeight="1">
      <c r="A7" s="5" t="inlineStr">
        <is>
          <t>•</t>
        </is>
      </c>
      <c r="B7" s="6" t="inlineStr">
        <is>
          <t>Task Backlog — the single source of truth for engineering work. One row per fix. Change the Status dropdown as work moves; this drives the Dashboard and is the sortable/filterable 'sprint sheet.'</t>
        </is>
      </c>
    </row>
    <row r="8" ht="30" customHeight="1">
      <c r="A8" s="5" t="inlineStr">
        <is>
          <t>•</t>
        </is>
      </c>
      <c r="B8" s="6" t="inlineStr">
        <is>
          <t>Kanban Board — visual board grouped by Sprint (the swimlanes), cards color-coded by Priority. Snapshot view for planning conversations; the Task Backlog is what you actually edit day to day.</t>
        </is>
      </c>
    </row>
    <row r="9" ht="30" customHeight="1">
      <c r="A9" s="5" t="inlineStr">
        <is>
          <t>•</t>
        </is>
      </c>
      <c r="B9" s="6" t="inlineStr">
        <is>
          <t>Testing Plan — every test type required before going live (automated, multi-tenant isolation, security, load/performance, resilience, migration/backup) PLUS the Alpha -&gt; Closed Beta -&gt; Staged Beta -&gt; GA rollout milestones with entry/exit criteria for each stage.</t>
        </is>
      </c>
    </row>
    <row r="10" ht="30" customHeight="1">
      <c r="A10" s="5" t="inlineStr">
        <is>
          <t>•</t>
        </is>
      </c>
      <c r="B10" s="6" t="inlineStr">
        <is>
          <t>Go-Live Checklist — the final gate. Every row must be checked TRUE before opening self-serve signup or onboarding client #1 at scale — includes a line item confirming every Testing Plan phase passed.</t>
        </is>
      </c>
    </row>
    <row r="12">
      <c r="A12" s="4" t="inlineStr">
        <is>
          <t>Legend — Priority</t>
        </is>
      </c>
    </row>
    <row r="13">
      <c r="A13" s="7" t="inlineStr">
        <is>
          <t>P0</t>
        </is>
      </c>
      <c r="B13" s="8" t="inlineStr">
        <is>
          <t>Ship-blocker — must close before the next tenant / go-live gate it sits in</t>
        </is>
      </c>
    </row>
    <row r="14">
      <c r="A14" s="9" t="inlineStr">
        <is>
          <t>P1</t>
        </is>
      </c>
      <c r="B14" s="8" t="inlineStr">
        <is>
          <t>Fix before selling to a real customer — not an immediate blocker but close soon</t>
        </is>
      </c>
    </row>
    <row r="15">
      <c r="A15" s="10" t="inlineStr">
        <is>
          <t>P2</t>
        </is>
      </c>
      <c r="B15" s="8" t="inlineStr">
        <is>
          <t>Quality/hardening — schedule once P0/P1 are clear</t>
        </is>
      </c>
    </row>
    <row r="17">
      <c r="A17" s="4" t="inlineStr">
        <is>
          <t>Legend — Status</t>
        </is>
      </c>
    </row>
    <row r="18">
      <c r="A18" s="11" t="inlineStr">
        <is>
          <t>Backlog</t>
        </is>
      </c>
    </row>
    <row r="19">
      <c r="A19" s="12" t="inlineStr">
        <is>
          <t>To Do</t>
        </is>
      </c>
    </row>
    <row r="20">
      <c r="A20" s="13" t="inlineStr">
        <is>
          <t>In Progress</t>
        </is>
      </c>
    </row>
    <row r="21">
      <c r="A21" s="7" t="inlineStr">
        <is>
          <t>Blocked</t>
        </is>
      </c>
    </row>
    <row r="22">
      <c r="A22" s="9" t="inlineStr">
        <is>
          <t>In Review</t>
        </is>
      </c>
    </row>
    <row r="23">
      <c r="A23" s="14" t="inlineStr">
        <is>
          <t>Done</t>
        </is>
      </c>
    </row>
    <row r="25">
      <c r="A25" s="4" t="inlineStr">
        <is>
          <t>Cells to edit</t>
        </is>
      </c>
    </row>
    <row r="26" ht="45" customHeight="1">
      <c r="A26" s="6" t="inlineStr">
        <is>
          <t>On Task Backlog: Status, Owner, Start Date, Due Date, and Notes are yours to fill in / update. On Testing Plan: Status and Owner are yours to update. On Go-Live Checklist: set Done? to TRUE only once verified. All editable columns are shown with a gold header fill. Everything else documents the finding and should not need editing.</t>
        </is>
      </c>
    </row>
  </sheetData>
  <mergeCells count="3">
    <mergeCell ref="A26:B26"/>
    <mergeCell ref="A3:B3"/>
    <mergeCell ref="A2:B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2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2" customWidth="1" min="3" max="3"/>
    <col width="12" customWidth="1" min="4" max="4"/>
    <col width="12" customWidth="1" min="5" max="5"/>
    <col width="14" customWidth="1" min="6" max="6"/>
    <col width="16" customWidth="1" min="7" max="7"/>
    <col width="40" customWidth="1" min="8" max="8"/>
  </cols>
  <sheetData>
    <row r="2">
      <c r="B2" s="1" t="inlineStr">
        <is>
          <t>Go-Live Readiness Dashboard</t>
        </is>
      </c>
    </row>
    <row r="3">
      <c r="B3" s="15" t="inlineStr">
        <is>
          <t>Everything below recalculates from Task Backlog — update Status there, not here.</t>
        </is>
      </c>
    </row>
    <row r="5">
      <c r="B5" s="16" t="inlineStr">
        <is>
          <t>Total tasks</t>
        </is>
      </c>
      <c r="C5" s="17">
        <f>COUNTA('Task Backlog'!A2:A54)</f>
        <v/>
      </c>
    </row>
    <row r="6">
      <c r="B6" s="16" t="inlineStr">
        <is>
          <t>Done</t>
        </is>
      </c>
      <c r="C6" s="17">
        <f>COUNTIF('Task Backlog'!J2:J54,"Done")</f>
        <v/>
      </c>
    </row>
    <row r="7">
      <c r="B7" s="16" t="inlineStr">
        <is>
          <t>Overall % complete</t>
        </is>
      </c>
      <c r="C7" s="18">
        <f>IFERROR(C6/C5,0)</f>
        <v/>
      </c>
    </row>
    <row r="8">
      <c r="B8" s="16" t="inlineStr">
        <is>
          <t>Open P0s (all sprints)</t>
        </is>
      </c>
      <c r="C8" s="17">
        <f>COUNTIFS('Task Backlog'!F2:F54,"P0",'Task Backlog'!J2:J54,"&lt;&gt;Done")</f>
        <v/>
      </c>
    </row>
    <row r="9">
      <c r="B9" s="16" t="inlineStr">
        <is>
          <t>Go-Live blockers still open</t>
        </is>
      </c>
      <c r="C9" s="17">
        <f>COUNTIFS('Task Backlog'!N2:N54,"Yes",'Task Backlog'!J2:J54,"&lt;&gt;Done")</f>
        <v/>
      </c>
    </row>
    <row r="10">
      <c r="B10" s="16" t="inlineStr">
        <is>
          <t>Testing Plan phases not yet Passed</t>
        </is>
      </c>
      <c r="C10" s="17">
        <f>COUNTIF('Testing Plan'!I13:I33,"&lt;&gt;Passed")</f>
        <v/>
      </c>
    </row>
    <row r="12">
      <c r="B12" s="4" t="inlineStr">
        <is>
          <t>READY FOR 100-CLIENT SaaS?</t>
        </is>
      </c>
      <c r="C12" s="19">
        <f>IF(AND(C9=0,C10=0),"READY — all go-live blockers closed and every testing phase passed","NOT READY — "&amp;C9&amp;" blocker(s) open, "&amp;C10&amp;" testing phase(s) not yet Passed")</f>
        <v/>
      </c>
    </row>
    <row r="14" ht="26" customHeight="1">
      <c r="B14" s="20" t="inlineStr">
        <is>
          <t>Sprint</t>
        </is>
      </c>
      <c r="C14" s="20" t="inlineStr">
        <is>
          <t>Goal</t>
        </is>
      </c>
      <c r="D14" s="20" t="inlineStr">
        <is>
          <t>Gate?</t>
        </is>
      </c>
      <c r="E14" s="20" t="inlineStr">
        <is>
          <t>Total</t>
        </is>
      </c>
      <c r="F14" s="20" t="inlineStr">
        <is>
          <t>Done</t>
        </is>
      </c>
      <c r="G14" s="20" t="inlineStr">
        <is>
          <t>% Complete</t>
        </is>
      </c>
      <c r="H14" s="20" t="inlineStr">
        <is>
          <t>Open P0s</t>
        </is>
      </c>
    </row>
    <row r="15" ht="34" customHeight="1">
      <c r="B15" s="21" t="inlineStr">
        <is>
          <t>Sprint 0 — Critical Security &amp; Auth</t>
        </is>
      </c>
      <c r="C15" s="22" t="inlineStr">
        <is>
          <t>Close every exploit that would get the platform owned in week one. No external tenant before this is clear.</t>
        </is>
      </c>
      <c r="D15" s="23" t="inlineStr">
        <is>
          <t>GATE</t>
        </is>
      </c>
      <c r="E15" s="24">
        <f>COUNTIF('Task Backlog'!B2:B54,"Sprint 0")</f>
        <v/>
      </c>
      <c r="F15" s="24">
        <f>COUNTIFS('Task Backlog'!B2:B54,"Sprint 0",'Task Backlog'!J2:J54,"Done")</f>
        <v/>
      </c>
      <c r="G15" s="25">
        <f>IFERROR(F15/E15,0)</f>
        <v/>
      </c>
      <c r="H15" s="24">
        <f>COUNTIFS('Task Backlog'!B2:B54,"Sprint 0",'Task Backlog'!F2:F54,"P0",'Task Backlog'!J2:J54,"&lt;&gt;Done")</f>
        <v/>
      </c>
    </row>
    <row r="16" ht="34" customHeight="1">
      <c r="B16" s="26" t="inlineStr">
        <is>
          <t>Sprint 1 — Scale &amp; Operational Blockers</t>
        </is>
      </c>
      <c r="C16" s="22" t="inlineStr">
        <is>
          <t>Fix the operational issues that break under multiple replicas / real concurrent load.</t>
        </is>
      </c>
      <c r="D16" s="23" t="inlineStr">
        <is>
          <t>GATE</t>
        </is>
      </c>
      <c r="E16" s="24">
        <f>COUNTIF('Task Backlog'!B2:B54,"Sprint 1")</f>
        <v/>
      </c>
      <c r="F16" s="24">
        <f>COUNTIFS('Task Backlog'!B2:B54,"Sprint 1",'Task Backlog'!J2:J54,"Done")</f>
        <v/>
      </c>
      <c r="G16" s="25">
        <f>IFERROR(F16/E16,0)</f>
        <v/>
      </c>
      <c r="H16" s="24">
        <f>COUNTIFS('Task Backlog'!B2:B54,"Sprint 1",'Task Backlog'!F2:F54,"P0",'Task Backlog'!J2:J54,"&lt;&gt;Done")</f>
        <v/>
      </c>
    </row>
    <row r="17" ht="34" customHeight="1">
      <c r="B17" s="27" t="inlineStr">
        <is>
          <t>Sprint 2 — Tenancy Hygiene &amp; Data Integrity</t>
        </is>
      </c>
      <c r="C17" s="22" t="inlineStr">
        <is>
          <t>Harden tenant isolation edges and fix data-integrity rough spots found in the schema audit.</t>
        </is>
      </c>
      <c r="D17" s="28" t="inlineStr">
        <is>
          <t>Parallel</t>
        </is>
      </c>
      <c r="E17" s="24">
        <f>COUNTIF('Task Backlog'!B2:B54,"Sprint 2")</f>
        <v/>
      </c>
      <c r="F17" s="24">
        <f>COUNTIFS('Task Backlog'!B2:B54,"Sprint 2",'Task Backlog'!J2:J54,"Done")</f>
        <v/>
      </c>
      <c r="G17" s="25">
        <f>IFERROR(F17/E17,0)</f>
        <v/>
      </c>
      <c r="H17" s="24">
        <f>COUNTIFS('Task Backlog'!B2:B54,"Sprint 2",'Task Backlog'!F2:F54,"P0",'Task Backlog'!J2:J54,"&lt;&gt;Done")</f>
        <v/>
      </c>
    </row>
    <row r="18" ht="34" customHeight="1">
      <c r="B18" s="29" t="inlineStr">
        <is>
          <t>Sprint 3 — Billing &amp; Multi-Tenant AI Keys</t>
        </is>
      </c>
      <c r="C18" s="22" t="inlineStr">
        <is>
          <t>Stand up real billing and per-tenant AI cost isolation — required before charging money.</t>
        </is>
      </c>
      <c r="D18" s="23" t="inlineStr">
        <is>
          <t>GATE</t>
        </is>
      </c>
      <c r="E18" s="24">
        <f>COUNTIF('Task Backlog'!B2:B54,"Sprint 3")</f>
        <v/>
      </c>
      <c r="F18" s="24">
        <f>COUNTIFS('Task Backlog'!B2:B54,"Sprint 3",'Task Backlog'!J2:J54,"Done")</f>
        <v/>
      </c>
      <c r="G18" s="25">
        <f>IFERROR(F18/E18,0)</f>
        <v/>
      </c>
      <c r="H18" s="24">
        <f>COUNTIFS('Task Backlog'!B2:B54,"Sprint 3",'Task Backlog'!F2:F54,"P0",'Task Backlog'!J2:J54,"&lt;&gt;Done")</f>
        <v/>
      </c>
    </row>
    <row r="19" ht="34" customHeight="1">
      <c r="B19" s="30" t="inlineStr">
        <is>
          <t>Sprint 4 — AI Brain / Agentic Enhancement</t>
        </is>
      </c>
      <c r="C19" s="22" t="inlineStr">
        <is>
          <t>Upgrade retrieval to real RAG and the Brain toward agentic. Parallel track — does not block go-live.</t>
        </is>
      </c>
      <c r="D19" s="28" t="inlineStr">
        <is>
          <t>Parallel</t>
        </is>
      </c>
      <c r="E19" s="24">
        <f>COUNTIF('Task Backlog'!B2:B54,"Sprint 4")</f>
        <v/>
      </c>
      <c r="F19" s="24">
        <f>COUNTIFS('Task Backlog'!B2:B54,"Sprint 4",'Task Backlog'!J2:J54,"Done")</f>
        <v/>
      </c>
      <c r="G19" s="25">
        <f>IFERROR(F19/E19,0)</f>
        <v/>
      </c>
      <c r="H19" s="24">
        <f>COUNTIFS('Task Backlog'!B2:B54,"Sprint 4",'Task Backlog'!F2:F54,"P0",'Task Backlog'!J2:J54,"&lt;&gt;Done")</f>
        <v/>
      </c>
    </row>
    <row r="20" ht="34" customHeight="1">
      <c r="B20" s="31" t="inlineStr">
        <is>
          <t>Sprint 5 — DevOps, Deployment &amp; Data Migration</t>
        </is>
      </c>
      <c r="C20" s="22" t="inlineStr">
        <is>
          <t>Final gate: staging, load test, observability, tested backups, migration plan, staged rollout, go/no-go.</t>
        </is>
      </c>
      <c r="D20" s="23" t="inlineStr">
        <is>
          <t>GATE</t>
        </is>
      </c>
      <c r="E20" s="24">
        <f>COUNTIF('Task Backlog'!B2:B54,"Sprint 5")</f>
        <v/>
      </c>
      <c r="F20" s="24">
        <f>COUNTIFS('Task Backlog'!B2:B54,"Sprint 5",'Task Backlog'!J2:J54,"Done")</f>
        <v/>
      </c>
      <c r="G20" s="25">
        <f>IFERROR(F20/E20,0)</f>
        <v/>
      </c>
      <c r="H20" s="24">
        <f>COUNTIFS('Task Backlog'!B2:B54,"Sprint 5",'Task Backlog'!F2:F54,"P0",'Task Backlog'!J2:J54,"&lt;&gt;Done")</f>
        <v/>
      </c>
    </row>
  </sheetData>
  <mergeCells count="2">
    <mergeCell ref="C12:H12"/>
    <mergeCell ref="B3:H3"/>
  </mergeCells>
  <conditionalFormatting sqref="C12">
    <cfRule type="expression" priority="1" dxfId="0">
      <formula>AND($C$9=0,$C$10=0)</formula>
    </cfRule>
    <cfRule type="expression" priority="2" dxfId="1">
      <formula>OR($C$9&gt;0,$C$10&gt;0)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0" customWidth="1" min="2" max="2"/>
    <col width="16" customWidth="1" min="3" max="3"/>
    <col width="32" customWidth="1" min="4" max="4"/>
    <col width="52" customWidth="1" min="5" max="5"/>
    <col width="9" customWidth="1" min="6" max="6"/>
    <col width="20" customWidth="1" min="7" max="7"/>
    <col width="26" customWidth="1" min="8" max="8"/>
    <col width="10" customWidth="1" min="9" max="9"/>
    <col width="13" customWidth="1" min="10" max="10"/>
    <col width="12" customWidth="1" min="11" max="11"/>
    <col width="12" customWidth="1" min="12" max="12"/>
    <col width="12" customWidth="1" min="13" max="13"/>
    <col width="13" customWidth="1" min="14" max="14"/>
    <col width="30" customWidth="1" min="15" max="15"/>
  </cols>
  <sheetData>
    <row r="1" ht="30" customHeight="1">
      <c r="A1" s="32" t="inlineStr">
        <is>
          <t>ID</t>
        </is>
      </c>
      <c r="B1" s="32" t="inlineStr">
        <is>
          <t>Sprint</t>
        </is>
      </c>
      <c r="C1" s="32" t="inlineStr">
        <is>
          <t>Category</t>
        </is>
      </c>
      <c r="D1" s="32" t="inlineStr">
        <is>
          <t>Task</t>
        </is>
      </c>
      <c r="E1" s="32" t="inlineStr">
        <is>
          <t>Fix / Description</t>
        </is>
      </c>
      <c r="F1" s="32" t="inlineStr">
        <is>
          <t>Priority</t>
        </is>
      </c>
      <c r="G1" s="32" t="inlineStr">
        <is>
          <t>Source Doc</t>
        </is>
      </c>
      <c r="H1" s="32" t="inlineStr">
        <is>
          <t>File Reference</t>
        </is>
      </c>
      <c r="I1" s="32" t="inlineStr">
        <is>
          <t>Effort (S/M/L)</t>
        </is>
      </c>
      <c r="J1" s="33" t="inlineStr">
        <is>
          <t>Status</t>
        </is>
      </c>
      <c r="K1" s="33" t="inlineStr">
        <is>
          <t>Owner</t>
        </is>
      </c>
      <c r="L1" s="33" t="inlineStr">
        <is>
          <t>Start Date</t>
        </is>
      </c>
      <c r="M1" s="33" t="inlineStr">
        <is>
          <t>Due Date</t>
        </is>
      </c>
      <c r="N1" s="32" t="inlineStr">
        <is>
          <t>Blocks Go-Live?</t>
        </is>
      </c>
      <c r="O1" s="33" t="inlineStr">
        <is>
          <t>Notes</t>
        </is>
      </c>
    </row>
    <row r="2" ht="32" customHeight="1">
      <c r="A2" s="34" t="inlineStr">
        <is>
          <t>S0-01</t>
        </is>
      </c>
      <c r="B2" s="35" t="inlineStr">
        <is>
          <t>Sprint 0</t>
        </is>
      </c>
      <c r="C2" s="34" t="inlineStr">
        <is>
          <t>Security/Auth</t>
        </is>
      </c>
      <c r="D2" s="22" t="inlineStr">
        <is>
          <t>Remove hardcoded superadmin default credentials</t>
        </is>
      </c>
      <c r="E2" s="22" t="inlineStr">
        <is>
          <t>Require env vars for SUPERADMIN_EMAIL/PASSWORD; stop overwriting DB hash on every restart so rotation works</t>
        </is>
      </c>
      <c r="F2" s="36" t="inlineStr">
        <is>
          <t>P0</t>
        </is>
      </c>
      <c r="G2" s="34" t="inlineStr">
        <is>
          <t>SaaS Readiness Review</t>
        </is>
      </c>
      <c r="H2" s="34" t="inlineStr">
        <is>
          <t>server.py:4925-4937</t>
        </is>
      </c>
      <c r="I2" s="34" t="inlineStr">
        <is>
          <t>S</t>
        </is>
      </c>
      <c r="J2" s="37" t="inlineStr">
        <is>
          <t>Backlog</t>
        </is>
      </c>
      <c r="K2" s="34" t="inlineStr"/>
      <c r="L2" s="34" t="inlineStr"/>
      <c r="M2" s="34" t="inlineStr"/>
      <c r="N2" s="23" t="inlineStr">
        <is>
          <t>Yes</t>
        </is>
      </c>
      <c r="O2" s="22" t="inlineStr"/>
    </row>
    <row r="3" ht="32" customHeight="1">
      <c r="A3" s="34" t="inlineStr">
        <is>
          <t>S0-02</t>
        </is>
      </c>
      <c r="B3" s="35" t="inlineStr">
        <is>
          <t>Sprint 0</t>
        </is>
      </c>
      <c r="C3" s="34" t="inlineStr">
        <is>
          <t>Security/Auth</t>
        </is>
      </c>
      <c r="D3" s="22" t="inlineStr">
        <is>
          <t>Fix CORS wildcard + credentials</t>
        </is>
      </c>
      <c r="E3" s="22" t="inlineStr">
        <is>
          <t>Replace allow_origin_regex='.*' with a strict origin allow-list; add CSRF protection for cookie-authed mutating routes</t>
        </is>
      </c>
      <c r="F3" s="36" t="inlineStr">
        <is>
          <t>P0</t>
        </is>
      </c>
      <c r="G3" s="34" t="inlineStr">
        <is>
          <t>SaaS Readiness Review</t>
        </is>
      </c>
      <c r="H3" s="34" t="inlineStr">
        <is>
          <t>server.py:4994-5001, core.py:218-222</t>
        </is>
      </c>
      <c r="I3" s="34" t="inlineStr">
        <is>
          <t>M</t>
        </is>
      </c>
      <c r="J3" s="37" t="inlineStr">
        <is>
          <t>Backlog</t>
        </is>
      </c>
      <c r="K3" s="34" t="inlineStr"/>
      <c r="L3" s="34" t="inlineStr"/>
      <c r="M3" s="34" t="inlineStr"/>
      <c r="N3" s="23" t="inlineStr">
        <is>
          <t>Yes</t>
        </is>
      </c>
      <c r="O3" s="22" t="inlineStr"/>
    </row>
    <row r="4" ht="32" customHeight="1">
      <c r="A4" s="34" t="inlineStr">
        <is>
          <t>S0-03</t>
        </is>
      </c>
      <c r="B4" s="35" t="inlineStr">
        <is>
          <t>Sprint 0</t>
        </is>
      </c>
      <c r="C4" s="34" t="inlineStr">
        <is>
          <t>Security/Auth</t>
        </is>
      </c>
      <c r="D4" s="22" t="inlineStr">
        <is>
          <t>Auth-gate file downloads</t>
        </is>
      </c>
      <c r="E4" s="22" t="inlineStr">
        <is>
          <t>Add get_current_user + tenant ownership check to GET /api/files/{fname}; currently unauth, guessable UUID = any tenant's file</t>
        </is>
      </c>
      <c r="F4" s="36" t="inlineStr">
        <is>
          <t>P0</t>
        </is>
      </c>
      <c r="G4" s="34" t="inlineStr">
        <is>
          <t>SaaS Readiness Review</t>
        </is>
      </c>
      <c r="H4" s="34" t="inlineStr">
        <is>
          <t>server.py:3032-3038</t>
        </is>
      </c>
      <c r="I4" s="34" t="inlineStr">
        <is>
          <t>S</t>
        </is>
      </c>
      <c r="J4" s="37" t="inlineStr">
        <is>
          <t>Backlog</t>
        </is>
      </c>
      <c r="K4" s="34" t="inlineStr"/>
      <c r="L4" s="34" t="inlineStr"/>
      <c r="M4" s="34" t="inlineStr"/>
      <c r="N4" s="23" t="inlineStr">
        <is>
          <t>Yes</t>
        </is>
      </c>
      <c r="O4" s="22" t="inlineStr"/>
    </row>
    <row r="5" ht="32" customHeight="1">
      <c r="A5" s="34" t="inlineStr">
        <is>
          <t>S0-04</t>
        </is>
      </c>
      <c r="B5" s="35" t="inlineStr">
        <is>
          <t>Sprint 0</t>
        </is>
      </c>
      <c r="C5" s="34" t="inlineStr">
        <is>
          <t>Security/Auth</t>
        </is>
      </c>
      <c r="D5" s="22" t="inlineStr">
        <is>
          <t>Kill dev-mode OTP leak</t>
        </is>
      </c>
      <c r="E5" s="22" t="inlineStr">
        <is>
          <t>Stop returning dev_otp in the API response; hard-fail boot if no SMS provider configured when ENV=prod</t>
        </is>
      </c>
      <c r="F5" s="36" t="inlineStr">
        <is>
          <t>P0</t>
        </is>
      </c>
      <c r="G5" s="34" t="inlineStr">
        <is>
          <t>SaaS Readiness Review</t>
        </is>
      </c>
      <c r="H5" s="34" t="inlineStr">
        <is>
          <t>server.py:1345-1347</t>
        </is>
      </c>
      <c r="I5" s="34" t="inlineStr">
        <is>
          <t>S</t>
        </is>
      </c>
      <c r="J5" s="37" t="inlineStr">
        <is>
          <t>Backlog</t>
        </is>
      </c>
      <c r="K5" s="34" t="inlineStr"/>
      <c r="L5" s="34" t="inlineStr"/>
      <c r="M5" s="34" t="inlineStr"/>
      <c r="N5" s="23" t="inlineStr">
        <is>
          <t>Yes</t>
        </is>
      </c>
      <c r="O5" s="22" t="inlineStr"/>
    </row>
    <row r="6" ht="32" customHeight="1">
      <c r="A6" s="34" t="inlineStr">
        <is>
          <t>S0-05</t>
        </is>
      </c>
      <c r="B6" s="35" t="inlineStr">
        <is>
          <t>Sprint 0</t>
        </is>
      </c>
      <c r="C6" s="34" t="inlineStr">
        <is>
          <t>Security/Auth</t>
        </is>
      </c>
      <c r="D6" s="22" t="inlineStr">
        <is>
          <t>Fix WhatsApp signature bypass</t>
        </is>
      </c>
      <c r="E6" s="22" t="inlineStr">
        <is>
          <t>Reject the webhook request on HMAC mismatch instead of logging + processing anyway</t>
        </is>
      </c>
      <c r="F6" s="36" t="inlineStr">
        <is>
          <t>P0</t>
        </is>
      </c>
      <c r="G6" s="34" t="inlineStr">
        <is>
          <t>SaaS Readiness Review</t>
        </is>
      </c>
      <c r="H6" s="34" t="inlineStr">
        <is>
          <t>server.py:3919-3933</t>
        </is>
      </c>
      <c r="I6" s="34" t="inlineStr">
        <is>
          <t>S</t>
        </is>
      </c>
      <c r="J6" s="37" t="inlineStr">
        <is>
          <t>Backlog</t>
        </is>
      </c>
      <c r="K6" s="34" t="inlineStr"/>
      <c r="L6" s="34" t="inlineStr"/>
      <c r="M6" s="34" t="inlineStr"/>
      <c r="N6" s="23" t="inlineStr">
        <is>
          <t>Yes</t>
        </is>
      </c>
      <c r="O6" s="22" t="inlineStr"/>
    </row>
    <row r="7" ht="32" customHeight="1">
      <c r="A7" s="34" t="inlineStr">
        <is>
          <t>S0-06</t>
        </is>
      </c>
      <c r="B7" s="35" t="inlineStr">
        <is>
          <t>Sprint 0</t>
        </is>
      </c>
      <c r="C7" s="34" t="inlineStr">
        <is>
          <t>Security/Auth</t>
        </is>
      </c>
      <c r="D7" s="22" t="inlineStr">
        <is>
          <t>Rate-limit + captcha unauth AI endpoints</t>
        </is>
      </c>
      <c r="E7" s="22" t="inlineStr">
        <is>
          <t>Add Turnstile/hCaptcha + IP rate limit to /api/signup/* and /api/onboarding/* — currently unauth and can burn unlimited LLM spend</t>
        </is>
      </c>
      <c r="F7" s="36" t="inlineStr">
        <is>
          <t>P0</t>
        </is>
      </c>
      <c r="G7" s="34" t="inlineStr">
        <is>
          <t>SaaS Readiness Review</t>
        </is>
      </c>
      <c r="H7" s="34" t="inlineStr">
        <is>
          <t>routers/signup.py, routers/onboarding.py:39,73</t>
        </is>
      </c>
      <c r="I7" s="34" t="inlineStr">
        <is>
          <t>M</t>
        </is>
      </c>
      <c r="J7" s="37" t="inlineStr">
        <is>
          <t>Backlog</t>
        </is>
      </c>
      <c r="K7" s="34" t="inlineStr"/>
      <c r="L7" s="34" t="inlineStr"/>
      <c r="M7" s="34" t="inlineStr"/>
      <c r="N7" s="23" t="inlineStr">
        <is>
          <t>Yes</t>
        </is>
      </c>
      <c r="O7" s="22" t="inlineStr"/>
    </row>
    <row r="8" ht="32" customHeight="1">
      <c r="A8" s="34" t="inlineStr">
        <is>
          <t>S0-07</t>
        </is>
      </c>
      <c r="B8" s="35" t="inlineStr">
        <is>
          <t>Sprint 0</t>
        </is>
      </c>
      <c r="C8" s="34" t="inlineStr">
        <is>
          <t>Security/Auth</t>
        </is>
      </c>
      <c r="D8" s="22" t="inlineStr">
        <is>
          <t>Add login rate limiting</t>
        </is>
      </c>
      <c r="E8" s="22" t="inlineStr">
        <is>
          <t>Tenant user login has no attempt lockout (admin login does); add 5-attempt/15-min lockout to match</t>
        </is>
      </c>
      <c r="F8" s="38" t="inlineStr">
        <is>
          <t>P1</t>
        </is>
      </c>
      <c r="G8" s="34" t="inlineStr">
        <is>
          <t>SaaS Readiness Review</t>
        </is>
      </c>
      <c r="H8" s="34" t="inlineStr">
        <is>
          <t>routers/auth.py:151-162</t>
        </is>
      </c>
      <c r="I8" s="34" t="inlineStr">
        <is>
          <t>S</t>
        </is>
      </c>
      <c r="J8" s="37" t="inlineStr">
        <is>
          <t>Backlog</t>
        </is>
      </c>
      <c r="K8" s="34" t="inlineStr"/>
      <c r="L8" s="34" t="inlineStr"/>
      <c r="M8" s="34" t="inlineStr"/>
      <c r="N8" s="23" t="inlineStr">
        <is>
          <t>Yes</t>
        </is>
      </c>
      <c r="O8" s="22" t="inlineStr"/>
    </row>
    <row r="9" ht="32" customHeight="1">
      <c r="A9" s="34" t="inlineStr">
        <is>
          <t>S0-08</t>
        </is>
      </c>
      <c r="B9" s="35" t="inlineStr">
        <is>
          <t>Sprint 0</t>
        </is>
      </c>
      <c r="C9" s="34" t="inlineStr">
        <is>
          <t>Security/Auth</t>
        </is>
      </c>
      <c r="D9" s="22" t="inlineStr">
        <is>
          <t>Stop returning raw JWT in response body</t>
        </is>
      </c>
      <c r="E9" s="22" t="inlineStr">
        <is>
          <t>Login/register return the token in JSON as well as the cookie; any XSS bypasses HttpOnly. Cookie-only.</t>
        </is>
      </c>
      <c r="F9" s="38" t="inlineStr">
        <is>
          <t>P1</t>
        </is>
      </c>
      <c r="G9" s="34" t="inlineStr">
        <is>
          <t>SaaS Readiness Review</t>
        </is>
      </c>
      <c r="H9" s="34" t="inlineStr">
        <is>
          <t>routers/auth.py:148,162</t>
        </is>
      </c>
      <c r="I9" s="34" t="inlineStr">
        <is>
          <t>S</t>
        </is>
      </c>
      <c r="J9" s="37" t="inlineStr">
        <is>
          <t>Backlog</t>
        </is>
      </c>
      <c r="K9" s="34" t="inlineStr"/>
      <c r="L9" s="34" t="inlineStr"/>
      <c r="M9" s="34" t="inlineStr"/>
      <c r="N9" s="23" t="inlineStr">
        <is>
          <t>Yes</t>
        </is>
      </c>
      <c r="O9" s="22" t="inlineStr"/>
    </row>
    <row r="10" ht="32" customHeight="1">
      <c r="A10" s="34" t="inlineStr">
        <is>
          <t>S0-09</t>
        </is>
      </c>
      <c r="B10" s="35" t="inlineStr">
        <is>
          <t>Sprint 0</t>
        </is>
      </c>
      <c r="C10" s="34" t="inlineStr">
        <is>
          <t>Security/Auth</t>
        </is>
      </c>
      <c r="D10" s="22" t="inlineStr">
        <is>
          <t>Split JWT secret: tenant vs platform admin</t>
        </is>
      </c>
      <c r="E10" s="22" t="inlineStr">
        <is>
          <t>Single JWT_SECRET used for both; only the 'type' claim separates them. Use two secrets.</t>
        </is>
      </c>
      <c r="F10" s="38" t="inlineStr">
        <is>
          <t>P1</t>
        </is>
      </c>
      <c r="G10" s="34" t="inlineStr">
        <is>
          <t>SaaS Readiness Review</t>
        </is>
      </c>
      <c r="H10" s="34" t="inlineStr">
        <is>
          <t>core.py:237,297</t>
        </is>
      </c>
      <c r="I10" s="34" t="inlineStr">
        <is>
          <t>S</t>
        </is>
      </c>
      <c r="J10" s="37" t="inlineStr">
        <is>
          <t>Backlog</t>
        </is>
      </c>
      <c r="K10" s="34" t="inlineStr"/>
      <c r="L10" s="34" t="inlineStr"/>
      <c r="M10" s="34" t="inlineStr"/>
      <c r="N10" s="23" t="inlineStr">
        <is>
          <t>Yes</t>
        </is>
      </c>
      <c r="O10" s="22" t="inlineStr"/>
    </row>
    <row r="11" ht="32" customHeight="1">
      <c r="A11" s="34" t="inlineStr">
        <is>
          <t>S0-10</t>
        </is>
      </c>
      <c r="B11" s="35" t="inlineStr">
        <is>
          <t>Sprint 0</t>
        </is>
      </c>
      <c r="C11" s="34" t="inlineStr">
        <is>
          <t>Security/Auth</t>
        </is>
      </c>
      <c r="D11" s="22" t="inlineStr">
        <is>
          <t>Invalidate invite tokens after use</t>
        </is>
      </c>
      <c r="E11" s="22" t="inlineStr">
        <is>
          <t>Invite tokens never expire after first use; invite_start also bypasses OTP cooldown (SMS-bomb vector) and leaks full phone number in the response</t>
        </is>
      </c>
      <c r="F11" s="38" t="inlineStr">
        <is>
          <t>P1</t>
        </is>
      </c>
      <c r="G11" s="34" t="inlineStr">
        <is>
          <t>SaaS Readiness Review</t>
        </is>
      </c>
      <c r="H11" s="34" t="inlineStr">
        <is>
          <t>server.py:1372,1386,1396,1397</t>
        </is>
      </c>
      <c r="I11" s="34" t="inlineStr">
        <is>
          <t>S</t>
        </is>
      </c>
      <c r="J11" s="37" t="inlineStr">
        <is>
          <t>Backlog</t>
        </is>
      </c>
      <c r="K11" s="34" t="inlineStr"/>
      <c r="L11" s="34" t="inlineStr"/>
      <c r="M11" s="34" t="inlineStr"/>
      <c r="N11" s="23" t="inlineStr">
        <is>
          <t>Yes</t>
        </is>
      </c>
      <c r="O11" s="22" t="inlineStr"/>
    </row>
    <row r="12" ht="32" customHeight="1">
      <c r="A12" s="34" t="inlineStr">
        <is>
          <t>S1-01</t>
        </is>
      </c>
      <c r="B12" s="39" t="inlineStr">
        <is>
          <t>Sprint 1</t>
        </is>
      </c>
      <c r="C12" s="34" t="inlineStr">
        <is>
          <t>Scale/Ops</t>
        </is>
      </c>
      <c r="D12" s="22" t="inlineStr">
        <is>
          <t>Externalize the follow-up scheduler</t>
        </is>
      </c>
      <c r="E12" s="22" t="inlineStr">
        <is>
          <t>In-process 300s loop triple-fires (duplicate emails/alerts) with 3 replicas, dies with 1. Move to a single external cron/worker or add leader election.</t>
        </is>
      </c>
      <c r="F12" s="36" t="inlineStr">
        <is>
          <t>P0</t>
        </is>
      </c>
      <c r="G12" s="34" t="inlineStr">
        <is>
          <t>Schema/Scale/Go-Live Review</t>
        </is>
      </c>
      <c r="H12" s="34" t="inlineStr">
        <is>
          <t>server.py:2765, 4946</t>
        </is>
      </c>
      <c r="I12" s="34" t="inlineStr">
        <is>
          <t>M</t>
        </is>
      </c>
      <c r="J12" s="37" t="inlineStr">
        <is>
          <t>Backlog</t>
        </is>
      </c>
      <c r="K12" s="34" t="inlineStr"/>
      <c r="L12" s="34" t="inlineStr"/>
      <c r="M12" s="34" t="inlineStr"/>
      <c r="N12" s="23" t="inlineStr">
        <is>
          <t>Yes</t>
        </is>
      </c>
      <c r="O12" s="22" t="inlineStr"/>
    </row>
    <row r="13" ht="32" customHeight="1">
      <c r="A13" s="34" t="inlineStr">
        <is>
          <t>S1-02</t>
        </is>
      </c>
      <c r="B13" s="39" t="inlineStr">
        <is>
          <t>Sprint 1</t>
        </is>
      </c>
      <c r="C13" s="34" t="inlineStr">
        <is>
          <t>Scale/Ops</t>
        </is>
      </c>
      <c r="D13" s="22" t="inlineStr">
        <is>
          <t>Index phone, drop Python-side filter</t>
        </is>
      </c>
      <c r="E13" s="22" t="inlineStr">
        <is>
          <t>OTP login + WhatsApp routing do a full collection scan with no phone index, capped at 2000-5000 docs (silent lockout beyond that). Add (tenant_id, phone) index.</t>
        </is>
      </c>
      <c r="F13" s="36" t="inlineStr">
        <is>
          <t>P0</t>
        </is>
      </c>
      <c r="G13" s="34" t="inlineStr">
        <is>
          <t>Schema/Scale/Go-Live Review</t>
        </is>
      </c>
      <c r="H13" s="34" t="inlineStr">
        <is>
          <t>server.py:1357,1419,4004</t>
        </is>
      </c>
      <c r="I13" s="34" t="inlineStr">
        <is>
          <t>S</t>
        </is>
      </c>
      <c r="J13" s="37" t="inlineStr">
        <is>
          <t>Backlog</t>
        </is>
      </c>
      <c r="K13" s="34" t="inlineStr"/>
      <c r="L13" s="34" t="inlineStr"/>
      <c r="M13" s="34" t="inlineStr"/>
      <c r="N13" s="23" t="inlineStr">
        <is>
          <t>Yes</t>
        </is>
      </c>
      <c r="O13" s="22" t="inlineStr"/>
    </row>
    <row r="14" ht="32" customHeight="1">
      <c r="A14" s="34" t="inlineStr">
        <is>
          <t>S1-03</t>
        </is>
      </c>
      <c r="B14" s="39" t="inlineStr">
        <is>
          <t>Sprint 1</t>
        </is>
      </c>
      <c r="C14" s="34" t="inlineStr">
        <is>
          <t>Scale/Ops</t>
        </is>
      </c>
      <c r="D14" s="22" t="inlineStr">
        <is>
          <t>Move all uploads to obj_store</t>
        </is>
      </c>
      <c r="E14" s="22" t="inlineStr">
        <is>
          <t>Voice notes, meetings, ledger uploads write to local disk — lost on restart, invisible across replicas. Route everything through the existing obj_store path; delete the local /api/files path.</t>
        </is>
      </c>
      <c r="F14" s="36" t="inlineStr">
        <is>
          <t>P0</t>
        </is>
      </c>
      <c r="G14" s="34" t="inlineStr">
        <is>
          <t>Schema/Scale/Go-Live Review</t>
        </is>
      </c>
      <c r="H14" s="34" t="inlineStr">
        <is>
          <t>server.py:1739,1902,3032; ledger.py:146</t>
        </is>
      </c>
      <c r="I14" s="34" t="inlineStr">
        <is>
          <t>M</t>
        </is>
      </c>
      <c r="J14" s="37" t="inlineStr">
        <is>
          <t>Backlog</t>
        </is>
      </c>
      <c r="K14" s="34" t="inlineStr"/>
      <c r="L14" s="34" t="inlineStr"/>
      <c r="M14" s="34" t="inlineStr"/>
      <c r="N14" s="23" t="inlineStr">
        <is>
          <t>Yes</t>
        </is>
      </c>
      <c r="O14" s="22" t="inlineStr"/>
    </row>
    <row r="15" ht="32" customHeight="1">
      <c r="A15" s="34" t="inlineStr">
        <is>
          <t>S1-04</t>
        </is>
      </c>
      <c r="B15" s="39" t="inlineStr">
        <is>
          <t>Sprint 1</t>
        </is>
      </c>
      <c r="C15" s="34" t="inlineStr">
        <is>
          <t>Scale/Ops</t>
        </is>
      </c>
      <c r="D15" s="22" t="inlineStr">
        <is>
          <t>Commit real deployment config</t>
        </is>
      </c>
      <c r="E15" s="22" t="inlineStr">
        <is>
          <t>No Dockerfile/Procfile exists. Pin worker count, add graceful shutdown for in-flight LLM calls, request-size caps.</t>
        </is>
      </c>
      <c r="F15" s="36" t="inlineStr">
        <is>
          <t>P0</t>
        </is>
      </c>
      <c r="G15" s="34" t="inlineStr">
        <is>
          <t>Schema/Scale/Go-Live Review</t>
        </is>
      </c>
      <c r="H15" s="34" t="inlineStr">
        <is>
          <t>(missing — new file)</t>
        </is>
      </c>
      <c r="I15" s="34" t="inlineStr">
        <is>
          <t>M</t>
        </is>
      </c>
      <c r="J15" s="37" t="inlineStr">
        <is>
          <t>Backlog</t>
        </is>
      </c>
      <c r="K15" s="34" t="inlineStr"/>
      <c r="L15" s="34" t="inlineStr"/>
      <c r="M15" s="34" t="inlineStr"/>
      <c r="N15" s="23" t="inlineStr">
        <is>
          <t>Yes</t>
        </is>
      </c>
      <c r="O15" s="22" t="inlineStr"/>
    </row>
    <row r="16" ht="32" customHeight="1">
      <c r="A16" s="34" t="inlineStr">
        <is>
          <t>S1-05</t>
        </is>
      </c>
      <c r="B16" s="39" t="inlineStr">
        <is>
          <t>Sprint 1</t>
        </is>
      </c>
      <c r="C16" s="34" t="inlineStr">
        <is>
          <t>Scale/Ops</t>
        </is>
      </c>
      <c r="D16" s="22" t="inlineStr">
        <is>
          <t>Timeout + concurrency-limit LLM calls</t>
        </is>
      </c>
      <c r="E16" s="22" t="inlineStr">
        <is>
          <t>No asyncio.wait_for on LLM calls; one shared key across all tenants means a burst of voice-capture cascades 429s with no ceiling. Add timeout + semaphore.</t>
        </is>
      </c>
      <c r="F16" s="38" t="inlineStr">
        <is>
          <t>P1</t>
        </is>
      </c>
      <c r="G16" s="34" t="inlineStr">
        <is>
          <t>Schema/Scale/Go-Live Review</t>
        </is>
      </c>
      <c r="H16" s="34" t="inlineStr">
        <is>
          <t>core.py:177</t>
        </is>
      </c>
      <c r="I16" s="34" t="inlineStr">
        <is>
          <t>M</t>
        </is>
      </c>
      <c r="J16" s="37" t="inlineStr">
        <is>
          <t>Backlog</t>
        </is>
      </c>
      <c r="K16" s="34" t="inlineStr"/>
      <c r="L16" s="34" t="inlineStr"/>
      <c r="M16" s="34" t="inlineStr"/>
      <c r="N16" s="23" t="inlineStr">
        <is>
          <t>Yes</t>
        </is>
      </c>
      <c r="O16" s="22" t="inlineStr"/>
    </row>
    <row r="17" ht="32" customHeight="1">
      <c r="A17" s="34" t="inlineStr">
        <is>
          <t>S1-06</t>
        </is>
      </c>
      <c r="B17" s="39" t="inlineStr">
        <is>
          <t>Sprint 1</t>
        </is>
      </c>
      <c r="C17" s="34" t="inlineStr">
        <is>
          <t>Scale/Ops</t>
        </is>
      </c>
      <c r="D17" s="22" t="inlineStr">
        <is>
          <t>Fix hardcoded purchase_payment key</t>
        </is>
      </c>
      <c r="E17" s="22" t="inlineStr">
        <is>
          <t>Owner-approval loop, pending-purchases dashboard, and payment-overdue alerts only recognize the textile pipeline key. Non-textile tenants silently lose their sign-off + payment tracking.</t>
        </is>
      </c>
      <c r="F17" s="36" t="inlineStr">
        <is>
          <t>P0</t>
        </is>
      </c>
      <c r="G17" s="34" t="inlineStr">
        <is>
          <t>Schema/Scale/Go-Live Review</t>
        </is>
      </c>
      <c r="H17" s="34" t="inlineStr">
        <is>
          <t>routers/decisions.py:166; server.py:2429; routers/brief.py:95,98,238,262</t>
        </is>
      </c>
      <c r="I17" s="34" t="inlineStr">
        <is>
          <t>M</t>
        </is>
      </c>
      <c r="J17" s="37" t="inlineStr">
        <is>
          <t>Backlog</t>
        </is>
      </c>
      <c r="K17" s="34" t="inlineStr"/>
      <c r="L17" s="34" t="inlineStr"/>
      <c r="M17" s="34" t="inlineStr"/>
      <c r="N17" s="23" t="inlineStr">
        <is>
          <t>Yes</t>
        </is>
      </c>
      <c r="O17" s="22" t="inlineStr"/>
    </row>
    <row r="18" ht="32" customHeight="1">
      <c r="A18" s="34" t="inlineStr">
        <is>
          <t>S2-01</t>
        </is>
      </c>
      <c r="B18" s="40" t="inlineStr">
        <is>
          <t>Sprint 2</t>
        </is>
      </c>
      <c r="C18" s="34" t="inlineStr">
        <is>
          <t>Tenancy/Data</t>
        </is>
      </c>
      <c r="D18" s="22" t="inlineStr">
        <is>
          <t>Add _ensure_owned() helper</t>
        </is>
      </c>
      <c r="E18" s="22" t="inlineStr">
        <is>
          <t>Many update_one/delete_* calls filter by {'id': X} only after an earlier tenant-scoped read. UUID makes it safe today but drift/leak risk. Centralize the pattern.</t>
        </is>
      </c>
      <c r="F18" s="38" t="inlineStr">
        <is>
          <t>P1</t>
        </is>
      </c>
      <c r="G18" s="34" t="inlineStr">
        <is>
          <t>SaaS Readiness Review</t>
        </is>
      </c>
      <c r="H18" s="34" t="inlineStr">
        <is>
          <t>routers/tasks.py:317,360,395; decisions.py:144-227; brain_docs.py:320,329; ledger.py:585,638,684</t>
        </is>
      </c>
      <c r="I18" s="34" t="inlineStr">
        <is>
          <t>M</t>
        </is>
      </c>
      <c r="J18" s="37" t="inlineStr">
        <is>
          <t>Backlog</t>
        </is>
      </c>
      <c r="K18" s="34" t="inlineStr"/>
      <c r="L18" s="34" t="inlineStr"/>
      <c r="M18" s="34" t="inlineStr"/>
      <c r="N18" s="41" t="inlineStr">
        <is>
          <t>No</t>
        </is>
      </c>
      <c r="O18" s="22" t="inlineStr"/>
    </row>
    <row r="19" ht="32" customHeight="1">
      <c r="A19" s="34" t="inlineStr">
        <is>
          <t>S2-02</t>
        </is>
      </c>
      <c r="B19" s="40" t="inlineStr">
        <is>
          <t>Sprint 2</t>
        </is>
      </c>
      <c r="C19" s="34" t="inlineStr">
        <is>
          <t>Tenancy/Data</t>
        </is>
      </c>
      <c r="D19" s="22" t="inlineStr">
        <is>
          <t>Complete TENANT_COLLECTIONS wipe</t>
        </is>
      </c>
      <c r="E19" s="22" t="inlineStr">
        <is>
          <t>Tenant deletion omits brain_context, brain_documents, capture_drafts, platform_alerts, reclassify_jobs, signup_sessions, and never deletes uploaded files. GDPR gap.</t>
        </is>
      </c>
      <c r="F19" s="38" t="inlineStr">
        <is>
          <t>P1</t>
        </is>
      </c>
      <c r="G19" s="34" t="inlineStr">
        <is>
          <t>SaaS Readiness Review</t>
        </is>
      </c>
      <c r="H19" s="34" t="inlineStr">
        <is>
          <t>routers/admin.py:161-186</t>
        </is>
      </c>
      <c r="I19" s="34" t="inlineStr">
        <is>
          <t>S</t>
        </is>
      </c>
      <c r="J19" s="37" t="inlineStr">
        <is>
          <t>Backlog</t>
        </is>
      </c>
      <c r="K19" s="34" t="inlineStr"/>
      <c r="L19" s="34" t="inlineStr"/>
      <c r="M19" s="34" t="inlineStr"/>
      <c r="N19" s="41" t="inlineStr">
        <is>
          <t>No</t>
        </is>
      </c>
      <c r="O19" s="22" t="inlineStr"/>
    </row>
    <row r="20" ht="32" customHeight="1">
      <c r="A20" s="34" t="inlineStr">
        <is>
          <t>S2-03</t>
        </is>
      </c>
      <c r="B20" s="40" t="inlineStr">
        <is>
          <t>Sprint 2</t>
        </is>
      </c>
      <c r="C20" s="34" t="inlineStr">
        <is>
          <t>Tenancy/Data</t>
        </is>
      </c>
      <c r="D20" s="22" t="inlineStr">
        <is>
          <t>Tenant-scope OTP + WhatsApp phone routing</t>
        </is>
      </c>
      <c r="E20" s="22" t="inlineStr">
        <is>
          <t>Two users in different tenants sharing a phone can log into the wrong workspace, or hijack another tenant's inbound WhatsApp.</t>
        </is>
      </c>
      <c r="F20" s="36" t="inlineStr">
        <is>
          <t>P0</t>
        </is>
      </c>
      <c r="G20" s="34" t="inlineStr">
        <is>
          <t>Schema/Scale/Go-Live Review</t>
        </is>
      </c>
      <c r="H20" s="34" t="inlineStr">
        <is>
          <t>server.py:1418-1428,1357; 3999-4028</t>
        </is>
      </c>
      <c r="I20" s="34" t="inlineStr">
        <is>
          <t>M</t>
        </is>
      </c>
      <c r="J20" s="37" t="inlineStr">
        <is>
          <t>Backlog</t>
        </is>
      </c>
      <c r="K20" s="34" t="inlineStr"/>
      <c r="L20" s="34" t="inlineStr"/>
      <c r="M20" s="34" t="inlineStr"/>
      <c r="N20" s="23" t="inlineStr">
        <is>
          <t>Yes</t>
        </is>
      </c>
      <c r="O20" s="22" t="inlineStr"/>
    </row>
    <row r="21" ht="32" customHeight="1">
      <c r="A21" s="34" t="inlineStr">
        <is>
          <t>S2-04</t>
        </is>
      </c>
      <c r="B21" s="40" t="inlineStr">
        <is>
          <t>Sprint 2</t>
        </is>
      </c>
      <c r="C21" s="34" t="inlineStr">
        <is>
          <t>Tenancy/Data</t>
        </is>
      </c>
      <c r="D21" s="22" t="inlineStr">
        <is>
          <t>Fix cross-tenant WhatsApp log leak</t>
        </is>
      </c>
      <c r="E21" s="22" t="inlineStr">
        <is>
          <t>whatsapp/logs OR-includes tenant_id:None rows, visible to every tenant owner.</t>
        </is>
      </c>
      <c r="F21" s="38" t="inlineStr">
        <is>
          <t>P1</t>
        </is>
      </c>
      <c r="G21" s="34" t="inlineStr">
        <is>
          <t>SaaS Readiness Review</t>
        </is>
      </c>
      <c r="H21" s="34" t="inlineStr">
        <is>
          <t>server.py:3993-3995</t>
        </is>
      </c>
      <c r="I21" s="34" t="inlineStr">
        <is>
          <t>S</t>
        </is>
      </c>
      <c r="J21" s="37" t="inlineStr">
        <is>
          <t>Backlog</t>
        </is>
      </c>
      <c r="K21" s="34" t="inlineStr"/>
      <c r="L21" s="34" t="inlineStr"/>
      <c r="M21" s="34" t="inlineStr"/>
      <c r="N21" s="41" t="inlineStr">
        <is>
          <t>No</t>
        </is>
      </c>
      <c r="O21" s="22" t="inlineStr"/>
    </row>
    <row r="22" ht="32" customHeight="1">
      <c r="A22" s="34" t="inlineStr">
        <is>
          <t>S2-05</t>
        </is>
      </c>
      <c r="B22" s="40" t="inlineStr">
        <is>
          <t>Sprint 2</t>
        </is>
      </c>
      <c r="C22" s="34" t="inlineStr">
        <is>
          <t>Tenancy/Data</t>
        </is>
      </c>
      <c r="D22" s="22" t="inlineStr">
        <is>
          <t>Fix unfiltered enrich_decisions fetch</t>
        </is>
      </c>
      <c r="E22" s="22" t="inlineStr">
        <is>
          <t>Related tasks/users fetched with no tenant filter; safe only because task_ids can't currently contain a foreign UUID.</t>
        </is>
      </c>
      <c r="F22" s="42" t="inlineStr">
        <is>
          <t>P2</t>
        </is>
      </c>
      <c r="G22" s="34" t="inlineStr">
        <is>
          <t>SaaS Readiness Review</t>
        </is>
      </c>
      <c r="H22" s="34" t="inlineStr">
        <is>
          <t>server.py:2142-2158; routers/decisions.py:44,172-175</t>
        </is>
      </c>
      <c r="I22" s="34" t="inlineStr">
        <is>
          <t>S</t>
        </is>
      </c>
      <c r="J22" s="37" t="inlineStr">
        <is>
          <t>Backlog</t>
        </is>
      </c>
      <c r="K22" s="34" t="inlineStr"/>
      <c r="L22" s="34" t="inlineStr"/>
      <c r="M22" s="34" t="inlineStr"/>
      <c r="N22" s="41" t="inlineStr">
        <is>
          <t>No</t>
        </is>
      </c>
      <c r="O22" s="22" t="inlineStr"/>
    </row>
    <row r="23" ht="32" customHeight="1">
      <c r="A23" s="34" t="inlineStr">
        <is>
          <t>S2-06</t>
        </is>
      </c>
      <c r="B23" s="40" t="inlineStr">
        <is>
          <t>Sprint 2</t>
        </is>
      </c>
      <c r="C23" s="34" t="inlineStr">
        <is>
          <t>Tenancy/Data</t>
        </is>
      </c>
      <c r="D23" s="22" t="inlineStr">
        <is>
          <t>Add session invalidation on logout/password-change</t>
        </is>
      </c>
      <c r="E23" s="22" t="inlineStr">
        <is>
          <t>JWT stays valid 7 days after logout; no jti/token-version, so a stolen session can't be revoked.</t>
        </is>
      </c>
      <c r="F23" s="38" t="inlineStr">
        <is>
          <t>P1</t>
        </is>
      </c>
      <c r="G23" s="34" t="inlineStr">
        <is>
          <t>SaaS Readiness Review</t>
        </is>
      </c>
      <c r="H23" s="34" t="inlineStr">
        <is>
          <t>core.py:225-226</t>
        </is>
      </c>
      <c r="I23" s="34" t="inlineStr">
        <is>
          <t>M</t>
        </is>
      </c>
      <c r="J23" s="37" t="inlineStr">
        <is>
          <t>Backlog</t>
        </is>
      </c>
      <c r="K23" s="34" t="inlineStr"/>
      <c r="L23" s="34" t="inlineStr"/>
      <c r="M23" s="34" t="inlineStr"/>
      <c r="N23" s="41" t="inlineStr">
        <is>
          <t>No</t>
        </is>
      </c>
      <c r="O23" s="22" t="inlineStr"/>
    </row>
    <row r="24" ht="32" customHeight="1">
      <c r="A24" s="34" t="inlineStr">
        <is>
          <t>S2-07</t>
        </is>
      </c>
      <c r="B24" s="40" t="inlineStr">
        <is>
          <t>Sprint 2</t>
        </is>
      </c>
      <c r="C24" s="34" t="inlineStr">
        <is>
          <t>Tenancy/Data</t>
        </is>
      </c>
      <c r="D24" s="22" t="inlineStr">
        <is>
          <t>Add email verification + password reset</t>
        </is>
      </c>
      <c r="E24" s="22" t="inlineStr">
        <is>
          <t>No self-serve recovery flow exists anywhere; enterprise-deal blocker.</t>
        </is>
      </c>
      <c r="F24" s="38" t="inlineStr">
        <is>
          <t>P1</t>
        </is>
      </c>
      <c r="G24" s="34" t="inlineStr">
        <is>
          <t>SaaS Readiness Review</t>
        </is>
      </c>
      <c r="H24" s="34" t="inlineStr">
        <is>
          <t>routers/auth.py</t>
        </is>
      </c>
      <c r="I24" s="34" t="inlineStr">
        <is>
          <t>M</t>
        </is>
      </c>
      <c r="J24" s="37" t="inlineStr">
        <is>
          <t>Backlog</t>
        </is>
      </c>
      <c r="K24" s="34" t="inlineStr"/>
      <c r="L24" s="34" t="inlineStr"/>
      <c r="M24" s="34" t="inlineStr"/>
      <c r="N24" s="41" t="inlineStr">
        <is>
          <t>No</t>
        </is>
      </c>
      <c r="O24" s="22" t="inlineStr"/>
    </row>
    <row r="25" ht="32" customHeight="1">
      <c r="A25" s="34" t="inlineStr">
        <is>
          <t>S2-08</t>
        </is>
      </c>
      <c r="B25" s="40" t="inlineStr">
        <is>
          <t>Sprint 2</t>
        </is>
      </c>
      <c r="C25" s="34" t="inlineStr">
        <is>
          <t>Tenancy/Data</t>
        </is>
      </c>
      <c r="D25" s="22" t="inlineStr">
        <is>
          <t>Fix dead contacts.kind index</t>
        </is>
      </c>
      <c r="E25" s="22" t="inlineStr">
        <is>
          <t>Index uses 'kind', every read/write uses 'type'. Index (tenant_id, type) instead.</t>
        </is>
      </c>
      <c r="F25" s="38" t="inlineStr">
        <is>
          <t>P1</t>
        </is>
      </c>
      <c r="G25" s="34" t="inlineStr">
        <is>
          <t>Schema/Scale/Go-Live Review</t>
        </is>
      </c>
      <c r="H25" s="34" t="inlineStr">
        <is>
          <t>server.py:4865</t>
        </is>
      </c>
      <c r="I25" s="34" t="inlineStr">
        <is>
          <t>S</t>
        </is>
      </c>
      <c r="J25" s="37" t="inlineStr">
        <is>
          <t>Backlog</t>
        </is>
      </c>
      <c r="K25" s="34" t="inlineStr"/>
      <c r="L25" s="34" t="inlineStr"/>
      <c r="M25" s="34" t="inlineStr"/>
      <c r="N25" s="41" t="inlineStr">
        <is>
          <t>No</t>
        </is>
      </c>
      <c r="O25" s="22" t="inlineStr"/>
    </row>
    <row r="26" ht="32" customHeight="1">
      <c r="A26" s="34" t="inlineStr">
        <is>
          <t>S2-09</t>
        </is>
      </c>
      <c r="B26" s="40" t="inlineStr">
        <is>
          <t>Sprint 2</t>
        </is>
      </c>
      <c r="C26" s="34" t="inlineStr">
        <is>
          <t>Tenancy/Data</t>
        </is>
      </c>
      <c r="D26" s="22" t="inlineStr">
        <is>
          <t>Fix denormalized-name staleness</t>
        </is>
      </c>
      <c r="E26" s="22" t="inlineStr">
        <is>
          <t>assignee_role / contact_name copies go stale on rename and are shown to users. Add refresh-on-rename.</t>
        </is>
      </c>
      <c r="F26" s="42" t="inlineStr">
        <is>
          <t>P2</t>
        </is>
      </c>
      <c r="G26" s="34" t="inlineStr">
        <is>
          <t>Schema/Scale/Go-Live Review</t>
        </is>
      </c>
      <c r="H26" s="34" t="inlineStr">
        <is>
          <t>routers/tasks.py; server.py:3326</t>
        </is>
      </c>
      <c r="I26" s="34" t="inlineStr">
        <is>
          <t>S</t>
        </is>
      </c>
      <c r="J26" s="37" t="inlineStr">
        <is>
          <t>Backlog</t>
        </is>
      </c>
      <c r="K26" s="34" t="inlineStr"/>
      <c r="L26" s="34" t="inlineStr"/>
      <c r="M26" s="34" t="inlineStr"/>
      <c r="N26" s="41" t="inlineStr">
        <is>
          <t>No</t>
        </is>
      </c>
      <c r="O26" s="22" t="inlineStr"/>
    </row>
    <row r="27" ht="32" customHeight="1">
      <c r="A27" s="34" t="inlineStr">
        <is>
          <t>S2-10</t>
        </is>
      </c>
      <c r="B27" s="40" t="inlineStr">
        <is>
          <t>Sprint 2</t>
        </is>
      </c>
      <c r="C27" s="34" t="inlineStr">
        <is>
          <t>Tenancy/Data</t>
        </is>
      </c>
      <c r="D27" s="22" t="inlineStr">
        <is>
          <t>Handle concurrent-registration race</t>
        </is>
      </c>
      <c r="E27" s="22" t="inlineStr">
        <is>
          <t>Same-email concurrent registers can race past the pre-check and hit the unique index, throwing a raw 500 instead of a clean 400.</t>
        </is>
      </c>
      <c r="F27" s="42" t="inlineStr">
        <is>
          <t>P2</t>
        </is>
      </c>
      <c r="G27" s="34" t="inlineStr">
        <is>
          <t>Schema/Scale/Go-Live Review</t>
        </is>
      </c>
      <c r="H27" s="34" t="inlineStr">
        <is>
          <t>routers/auth.py:92-93</t>
        </is>
      </c>
      <c r="I27" s="34" t="inlineStr">
        <is>
          <t>S</t>
        </is>
      </c>
      <c r="J27" s="37" t="inlineStr">
        <is>
          <t>Backlog</t>
        </is>
      </c>
      <c r="K27" s="34" t="inlineStr"/>
      <c r="L27" s="34" t="inlineStr"/>
      <c r="M27" s="34" t="inlineStr"/>
      <c r="N27" s="41" t="inlineStr">
        <is>
          <t>No</t>
        </is>
      </c>
      <c r="O27" s="22" t="inlineStr"/>
    </row>
    <row r="28" ht="32" customHeight="1">
      <c r="A28" s="34" t="inlineStr">
        <is>
          <t>S2-11</t>
        </is>
      </c>
      <c r="B28" s="40" t="inlineStr">
        <is>
          <t>Sprint 2</t>
        </is>
      </c>
      <c r="C28" s="34" t="inlineStr">
        <is>
          <t>Tenancy/Data</t>
        </is>
      </c>
      <c r="D28" s="22" t="inlineStr">
        <is>
          <t>Flag AI-operating-model generation failures</t>
        </is>
      </c>
      <c r="E28" s="22" t="inlineStr">
        <is>
          <t>Malformed/timed-out AI response silently falls back to the textile default model with zero error shown to the tenant.</t>
        </is>
      </c>
      <c r="F28" s="38" t="inlineStr">
        <is>
          <t>P1</t>
        </is>
      </c>
      <c r="G28" s="34" t="inlineStr">
        <is>
          <t>Schema/Scale/Go-Live Review</t>
        </is>
      </c>
      <c r="H28" s="34" t="inlineStr">
        <is>
          <t>server.py:1154-1160</t>
        </is>
      </c>
      <c r="I28" s="34" t="inlineStr">
        <is>
          <t>S</t>
        </is>
      </c>
      <c r="J28" s="37" t="inlineStr">
        <is>
          <t>Backlog</t>
        </is>
      </c>
      <c r="K28" s="34" t="inlineStr"/>
      <c r="L28" s="34" t="inlineStr"/>
      <c r="M28" s="34" t="inlineStr"/>
      <c r="N28" s="41" t="inlineStr">
        <is>
          <t>No</t>
        </is>
      </c>
      <c r="O28" s="22" t="inlineStr"/>
    </row>
    <row r="29" ht="32" customHeight="1">
      <c r="A29" s="34" t="inlineStr">
        <is>
          <t>S2-12</t>
        </is>
      </c>
      <c r="B29" s="40" t="inlineStr">
        <is>
          <t>Sprint 2</t>
        </is>
      </c>
      <c r="C29" s="34" t="inlineStr">
        <is>
          <t>Tenancy/Data</t>
        </is>
      </c>
      <c r="D29" s="22" t="inlineStr">
        <is>
          <t>Fix 'active workflows' hardcoded terminal stages</t>
        </is>
      </c>
      <c r="E29" s="22" t="inlineStr">
        <is>
          <t>KPI checks stage NOT IN [delivered, paid] — non-textile terminal stages never match, so the count only ever climbs.</t>
        </is>
      </c>
      <c r="F29" s="42" t="inlineStr">
        <is>
          <t>P2</t>
        </is>
      </c>
      <c r="G29" s="34" t="inlineStr">
        <is>
          <t>Schema/Scale/Go-Live Review</t>
        </is>
      </c>
      <c r="H29" s="34" t="inlineStr">
        <is>
          <t>server.py:2433</t>
        </is>
      </c>
      <c r="I29" s="34" t="inlineStr">
        <is>
          <t>S</t>
        </is>
      </c>
      <c r="J29" s="37" t="inlineStr">
        <is>
          <t>Backlog</t>
        </is>
      </c>
      <c r="K29" s="34" t="inlineStr"/>
      <c r="L29" s="34" t="inlineStr"/>
      <c r="M29" s="34" t="inlineStr"/>
      <c r="N29" s="41" t="inlineStr">
        <is>
          <t>No</t>
        </is>
      </c>
      <c r="O29" s="22" t="inlineStr"/>
    </row>
    <row r="30" ht="32" customHeight="1">
      <c r="A30" s="34" t="inlineStr">
        <is>
          <t>S3-01</t>
        </is>
      </c>
      <c r="B30" s="43" t="inlineStr">
        <is>
          <t>Sprint 3</t>
        </is>
      </c>
      <c r="C30" s="34" t="inlineStr">
        <is>
          <t>Billing/AI-Keys</t>
        </is>
      </c>
      <c r="D30" s="22" t="inlineStr">
        <is>
          <t>Integrate real billing (Stripe or Razorpay)</t>
        </is>
      </c>
      <c r="E30" s="22" t="inlineStr">
        <is>
          <t>stripe is in requirements.txt but never imported. No subscription billing exists at all today.</t>
        </is>
      </c>
      <c r="F30" s="36" t="inlineStr">
        <is>
          <t>P0</t>
        </is>
      </c>
      <c r="G30" s="34" t="inlineStr">
        <is>
          <t>SaaS Readiness Review</t>
        </is>
      </c>
      <c r="H30" s="34" t="inlineStr">
        <is>
          <t>requirements.txt:129</t>
        </is>
      </c>
      <c r="I30" s="34" t="inlineStr">
        <is>
          <t>L</t>
        </is>
      </c>
      <c r="J30" s="37" t="inlineStr">
        <is>
          <t>Backlog</t>
        </is>
      </c>
      <c r="K30" s="34" t="inlineStr"/>
      <c r="L30" s="34" t="inlineStr"/>
      <c r="M30" s="34" t="inlineStr"/>
      <c r="N30" s="23" t="inlineStr">
        <is>
          <t>Yes</t>
        </is>
      </c>
      <c r="O30" s="22" t="inlineStr"/>
    </row>
    <row r="31" ht="32" customHeight="1">
      <c r="A31" s="34" t="inlineStr">
        <is>
          <t>S3-02</t>
        </is>
      </c>
      <c r="B31" s="43" t="inlineStr">
        <is>
          <t>Sprint 3</t>
        </is>
      </c>
      <c r="C31" s="34" t="inlineStr">
        <is>
          <t>Billing/AI-Keys</t>
        </is>
      </c>
      <c r="D31" s="22" t="inlineStr">
        <is>
          <t>Add plan / entitlement fields to tenant doc</t>
        </is>
      </c>
      <c r="E31" s="22" t="inlineStr">
        <is>
          <t>No plan, trial_ends_at, seat_limit, or feature_flags — every tenant is on unlimited free forever.</t>
        </is>
      </c>
      <c r="F31" s="38" t="inlineStr">
        <is>
          <t>P1</t>
        </is>
      </c>
      <c r="G31" s="34" t="inlineStr">
        <is>
          <t>SaaS Readiness Review</t>
        </is>
      </c>
      <c r="H31" s="34" t="inlineStr">
        <is>
          <t>tenant document schema</t>
        </is>
      </c>
      <c r="I31" s="34" t="inlineStr">
        <is>
          <t>M</t>
        </is>
      </c>
      <c r="J31" s="37" t="inlineStr">
        <is>
          <t>Backlog</t>
        </is>
      </c>
      <c r="K31" s="34" t="inlineStr"/>
      <c r="L31" s="34" t="inlineStr"/>
      <c r="M31" s="34" t="inlineStr"/>
      <c r="N31" s="23" t="inlineStr">
        <is>
          <t>Yes</t>
        </is>
      </c>
      <c r="O31" s="22" t="inlineStr"/>
    </row>
    <row r="32" ht="32" customHeight="1">
      <c r="A32" s="34" t="inlineStr">
        <is>
          <t>S3-03</t>
        </is>
      </c>
      <c r="B32" s="43" t="inlineStr">
        <is>
          <t>Sprint 3</t>
        </is>
      </c>
      <c r="C32" s="34" t="inlineStr">
        <is>
          <t>Billing/AI-Keys</t>
        </is>
      </c>
      <c r="D32" s="22" t="inlineStr">
        <is>
          <t>Per-tenant AI key resolver</t>
        </is>
      </c>
      <c r="E32" s="22" t="inlineStr">
        <is>
          <t>All AI keys are one global pool shared by every tenant; one rate-limited/leaked key breaks 100% of tenants. Add per-tenant key columns + fallback resolver.</t>
        </is>
      </c>
      <c r="F32" s="36" t="inlineStr">
        <is>
          <t>P0</t>
        </is>
      </c>
      <c r="G32" s="34" t="inlineStr">
        <is>
          <t>SaaS Readiness Review</t>
        </is>
      </c>
      <c r="H32" s="34" t="inlineStr">
        <is>
          <t>config.py:53-60; core.py:177-205; routers/admin.py:335-348</t>
        </is>
      </c>
      <c r="I32" s="34" t="inlineStr">
        <is>
          <t>L</t>
        </is>
      </c>
      <c r="J32" s="37" t="inlineStr">
        <is>
          <t>Backlog</t>
        </is>
      </c>
      <c r="K32" s="34" t="inlineStr"/>
      <c r="L32" s="34" t="inlineStr"/>
      <c r="M32" s="34" t="inlineStr"/>
      <c r="N32" s="23" t="inlineStr">
        <is>
          <t>Yes</t>
        </is>
      </c>
      <c r="O32" s="22" t="inlineStr"/>
    </row>
    <row r="33" ht="32" customHeight="1">
      <c r="A33" s="34" t="inlineStr">
        <is>
          <t>S3-04</t>
        </is>
      </c>
      <c r="B33" s="43" t="inlineStr">
        <is>
          <t>Sprint 3</t>
        </is>
      </c>
      <c r="C33" s="34" t="inlineStr">
        <is>
          <t>Billing/AI-Keys</t>
        </is>
      </c>
      <c r="D33" s="22" t="inlineStr">
        <is>
          <t>Enforce usage quotas (402 on exceed)</t>
        </is>
      </c>
      <c r="E33" s="22" t="inlineStr">
        <is>
          <t>Usage telemetry is estimation-only; no hard limit stops a tenant from running up unlimited LLM cost.</t>
        </is>
      </c>
      <c r="F33" s="38" t="inlineStr">
        <is>
          <t>P1</t>
        </is>
      </c>
      <c r="G33" s="34" t="inlineStr">
        <is>
          <t>SaaS Readiness Review</t>
        </is>
      </c>
      <c r="H33" s="34" t="inlineStr">
        <is>
          <t>services/usage.py</t>
        </is>
      </c>
      <c r="I33" s="34" t="inlineStr">
        <is>
          <t>M</t>
        </is>
      </c>
      <c r="J33" s="37" t="inlineStr">
        <is>
          <t>Backlog</t>
        </is>
      </c>
      <c r="K33" s="34" t="inlineStr"/>
      <c r="L33" s="34" t="inlineStr"/>
      <c r="M33" s="34" t="inlineStr"/>
      <c r="N33" s="23" t="inlineStr">
        <is>
          <t>Yes</t>
        </is>
      </c>
      <c r="O33" s="22" t="inlineStr"/>
    </row>
    <row r="34" ht="32" customHeight="1">
      <c r="A34" s="34" t="inlineStr">
        <is>
          <t>S4-01</t>
        </is>
      </c>
      <c r="B34" s="44" t="inlineStr">
        <is>
          <t>Sprint 4</t>
        </is>
      </c>
      <c r="C34" s="34" t="inlineStr">
        <is>
          <t>AI/Brain</t>
        </is>
      </c>
      <c r="D34" s="22" t="inlineStr">
        <is>
          <t>Fix text-index stemming + index db.memory</t>
        </is>
      </c>
      <c r="E34" s="22" t="inlineStr">
        <is>
          <t>default_language='none' disables stemming (refund != refunds); db.memory has no text index at all, only regex scan.</t>
        </is>
      </c>
      <c r="F34" s="42" t="inlineStr">
        <is>
          <t>P2</t>
        </is>
      </c>
      <c r="G34" s="34" t="inlineStr">
        <is>
          <t>AI/Brain/Agentic Review</t>
        </is>
      </c>
      <c r="H34" s="34" t="inlineStr">
        <is>
          <t>server.py:4894; brain.py:250-255</t>
        </is>
      </c>
      <c r="I34" s="34" t="inlineStr">
        <is>
          <t>S</t>
        </is>
      </c>
      <c r="J34" s="37" t="inlineStr">
        <is>
          <t>Backlog</t>
        </is>
      </c>
      <c r="K34" s="34" t="inlineStr"/>
      <c r="L34" s="34" t="inlineStr"/>
      <c r="M34" s="34" t="inlineStr"/>
      <c r="N34" s="41" t="inlineStr">
        <is>
          <t>No</t>
        </is>
      </c>
      <c r="O34" s="22" t="inlineStr"/>
    </row>
    <row r="35" ht="32" customHeight="1">
      <c r="A35" s="34" t="inlineStr">
        <is>
          <t>S4-02</t>
        </is>
      </c>
      <c r="B35" s="44" t="inlineStr">
        <is>
          <t>Sprint 4</t>
        </is>
      </c>
      <c r="C35" s="34" t="inlineStr">
        <is>
          <t>AI/Brain</t>
        </is>
      </c>
      <c r="D35" s="22" t="inlineStr">
        <is>
          <t>Fix task-done Brain write-coverage gap + link provenance</t>
        </is>
      </c>
      <c r="E35" s="22" t="inlineStr">
        <is>
          <t>Execution-plan-complete path skips record_context; add decision_id linkage so decision-&gt;task-&gt;outcome is reconstructable.</t>
        </is>
      </c>
      <c r="F35" s="38" t="inlineStr">
        <is>
          <t>P1</t>
        </is>
      </c>
      <c r="G35" s="34" t="inlineStr">
        <is>
          <t>AI/Brain/Agentic Review</t>
        </is>
      </c>
      <c r="H35" s="34" t="inlineStr">
        <is>
          <t>tasks.py:507; services/brain_context.py</t>
        </is>
      </c>
      <c r="I35" s="34" t="inlineStr">
        <is>
          <t>M</t>
        </is>
      </c>
      <c r="J35" s="37" t="inlineStr">
        <is>
          <t>Backlog</t>
        </is>
      </c>
      <c r="K35" s="34" t="inlineStr"/>
      <c r="L35" s="34" t="inlineStr"/>
      <c r="M35" s="34" t="inlineStr"/>
      <c r="N35" s="41" t="inlineStr">
        <is>
          <t>No</t>
        </is>
      </c>
      <c r="O35" s="22" t="inlineStr"/>
    </row>
    <row r="36" ht="32" customHeight="1">
      <c r="A36" s="34" t="inlineStr">
        <is>
          <t>S4-03</t>
        </is>
      </c>
      <c r="B36" s="44" t="inlineStr">
        <is>
          <t>Sprint 4</t>
        </is>
      </c>
      <c r="C36" s="34" t="inlineStr">
        <is>
          <t>AI/Brain</t>
        </is>
      </c>
      <c r="D36" s="22" t="inlineStr">
        <is>
          <t>Rename brain_contexts -&gt; brain_query_cache</t>
        </is>
      </c>
      <c r="E36" s="22" t="inlineStr">
        <is>
          <t>Kills the dangerous brain_context / brain_contexts name collision.</t>
        </is>
      </c>
      <c r="F36" s="42" t="inlineStr">
        <is>
          <t>P2</t>
        </is>
      </c>
      <c r="G36" s="34" t="inlineStr">
        <is>
          <t>AI/Brain/Agentic Review</t>
        </is>
      </c>
      <c r="H36" s="34" t="inlineStr">
        <is>
          <t>brain.py:714,752,794</t>
        </is>
      </c>
      <c r="I36" s="34" t="inlineStr">
        <is>
          <t>S</t>
        </is>
      </c>
      <c r="J36" s="37" t="inlineStr">
        <is>
          <t>Backlog</t>
        </is>
      </c>
      <c r="K36" s="34" t="inlineStr"/>
      <c r="L36" s="34" t="inlineStr"/>
      <c r="M36" s="34" t="inlineStr"/>
      <c r="N36" s="41" t="inlineStr">
        <is>
          <t>No</t>
        </is>
      </c>
      <c r="O36" s="22" t="inlineStr"/>
    </row>
    <row r="37" ht="32" customHeight="1">
      <c r="A37" s="34" t="inlineStr">
        <is>
          <t>S4-04</t>
        </is>
      </c>
      <c r="B37" s="44" t="inlineStr">
        <is>
          <t>Sprint 4</t>
        </is>
      </c>
      <c r="C37" s="34" t="inlineStr">
        <is>
          <t>AI/Brain</t>
        </is>
      </c>
      <c r="D37" s="22" t="inlineStr">
        <is>
          <t>Unify /ask and /brain/agent retrieval reach</t>
        </is>
      </c>
      <c r="E37" s="22" t="inlineStr">
        <is>
          <t>/ask never reads brain_context or brain_documents — provenance answers only work on the Dex agent path. Give both the same reach.</t>
        </is>
      </c>
      <c r="F37" s="38" t="inlineStr">
        <is>
          <t>P1</t>
        </is>
      </c>
      <c r="G37" s="34" t="inlineStr">
        <is>
          <t>AI/Brain/Agentic Review</t>
        </is>
      </c>
      <c r="H37" s="34" t="inlineStr">
        <is>
          <t>routers/brain.py:52,205</t>
        </is>
      </c>
      <c r="I37" s="34" t="inlineStr">
        <is>
          <t>M</t>
        </is>
      </c>
      <c r="J37" s="37" t="inlineStr">
        <is>
          <t>Backlog</t>
        </is>
      </c>
      <c r="K37" s="34" t="inlineStr"/>
      <c r="L37" s="34" t="inlineStr"/>
      <c r="M37" s="34" t="inlineStr"/>
      <c r="N37" s="41" t="inlineStr">
        <is>
          <t>No</t>
        </is>
      </c>
      <c r="O37" s="22" t="inlineStr"/>
    </row>
    <row r="38" ht="32" customHeight="1">
      <c r="A38" s="34" t="inlineStr">
        <is>
          <t>S4-05</t>
        </is>
      </c>
      <c r="B38" s="44" t="inlineStr">
        <is>
          <t>Sprint 4</t>
        </is>
      </c>
      <c r="C38" s="34" t="inlineStr">
        <is>
          <t>AI/Brain</t>
        </is>
      </c>
      <c r="D38" s="22" t="inlineStr">
        <is>
          <t>Extract + chunk + embed documents at ingest</t>
        </is>
      </c>
      <c r="E38" s="22" t="inlineStr">
        <is>
          <t>Uploaded documents are stored as metadata only; body text is never read at ingest. Add server-side extraction + chunking + embeddings into a new brain_chunks collection.</t>
        </is>
      </c>
      <c r="F38" s="38" t="inlineStr">
        <is>
          <t>P1</t>
        </is>
      </c>
      <c r="G38" s="34" t="inlineStr">
        <is>
          <t>AI/Brain/Agentic Review</t>
        </is>
      </c>
      <c r="H38" s="34" t="inlineStr">
        <is>
          <t>routers/brain_docs.py:147-213</t>
        </is>
      </c>
      <c r="I38" s="34" t="inlineStr">
        <is>
          <t>L</t>
        </is>
      </c>
      <c r="J38" s="37" t="inlineStr">
        <is>
          <t>Backlog</t>
        </is>
      </c>
      <c r="K38" s="34" t="inlineStr"/>
      <c r="L38" s="34" t="inlineStr"/>
      <c r="M38" s="34" t="inlineStr"/>
      <c r="N38" s="41" t="inlineStr">
        <is>
          <t>No</t>
        </is>
      </c>
      <c r="O38" s="22" t="inlineStr"/>
    </row>
    <row r="39" ht="32" customHeight="1">
      <c r="A39" s="34" t="inlineStr">
        <is>
          <t>S4-06</t>
        </is>
      </c>
      <c r="B39" s="44" t="inlineStr">
        <is>
          <t>Sprint 4</t>
        </is>
      </c>
      <c r="C39" s="34" t="inlineStr">
        <is>
          <t>AI/Brain</t>
        </is>
      </c>
      <c r="D39" s="22" t="inlineStr">
        <is>
          <t>Adopt vector search + hybrid retrieval</t>
        </is>
      </c>
      <c r="E39" s="22" t="inlineStr">
        <is>
          <t>Move from keyword-only BM25/regex to embeddings (Atlas Vector Search if on Atlas, else Qdrant/pgvector) fused with existing text search.</t>
        </is>
      </c>
      <c r="F39" s="38" t="inlineStr">
        <is>
          <t>P1</t>
        </is>
      </c>
      <c r="G39" s="34" t="inlineStr">
        <is>
          <t>AI/Brain/Agentic Review</t>
        </is>
      </c>
      <c r="H39" s="34" t="inlineStr">
        <is>
          <t>(new infra)</t>
        </is>
      </c>
      <c r="I39" s="34" t="inlineStr">
        <is>
          <t>L</t>
        </is>
      </c>
      <c r="J39" s="37" t="inlineStr">
        <is>
          <t>Backlog</t>
        </is>
      </c>
      <c r="K39" s="34" t="inlineStr"/>
      <c r="L39" s="34" t="inlineStr"/>
      <c r="M39" s="34" t="inlineStr"/>
      <c r="N39" s="41" t="inlineStr">
        <is>
          <t>No</t>
        </is>
      </c>
      <c r="O39" s="22" t="inlineStr"/>
    </row>
    <row r="40" ht="32" customHeight="1">
      <c r="A40" s="34" t="inlineStr">
        <is>
          <t>S4-07</t>
        </is>
      </c>
      <c r="B40" s="44" t="inlineStr">
        <is>
          <t>Sprint 4</t>
        </is>
      </c>
      <c r="C40" s="34" t="inlineStr">
        <is>
          <t>AI/Brain</t>
        </is>
      </c>
      <c r="D40" s="22" t="inlineStr">
        <is>
          <t>Formalize a tool registry</t>
        </is>
      </c>
      <c r="E40" s="22" t="inlineStr">
        <is>
          <t>The 10 _compute_* + 4 _tool_* handlers already have a clean typed contract — wrap in Pydantic in/out models and register centrally.</t>
        </is>
      </c>
      <c r="F40" s="42" t="inlineStr">
        <is>
          <t>P2</t>
        </is>
      </c>
      <c r="G40" s="34" t="inlineStr">
        <is>
          <t>AI/Brain/Agentic Review</t>
        </is>
      </c>
      <c r="H40" s="34" t="inlineStr">
        <is>
          <t>routers/brain.py; routers/brain_router.py</t>
        </is>
      </c>
      <c r="I40" s="34" t="inlineStr">
        <is>
          <t>M</t>
        </is>
      </c>
      <c r="J40" s="37" t="inlineStr">
        <is>
          <t>Backlog</t>
        </is>
      </c>
      <c r="K40" s="34" t="inlineStr"/>
      <c r="L40" s="34" t="inlineStr"/>
      <c r="M40" s="34" t="inlineStr"/>
      <c r="N40" s="41" t="inlineStr">
        <is>
          <t>No</t>
        </is>
      </c>
      <c r="O40" s="22" t="inlineStr"/>
    </row>
    <row r="41" ht="32" customHeight="1">
      <c r="A41" s="34" t="inlineStr">
        <is>
          <t>S4-08</t>
        </is>
      </c>
      <c r="B41" s="44" t="inlineStr">
        <is>
          <t>Sprint 4</t>
        </is>
      </c>
      <c r="C41" s="34" t="inlineStr">
        <is>
          <t>AI/Brain</t>
        </is>
      </c>
      <c r="D41" s="22" t="inlineStr">
        <is>
          <t>Add bounded planner-executor loop + native function-calling</t>
        </is>
      </c>
      <c r="E41" s="22" t="inlineStr">
        <is>
          <t>/brain/agent is single-turn (plan -&gt; fan-out -&gt; synthesize, no re-plan). Add an observe-then-replan loop and migrate to Anthropic tools=[...].</t>
        </is>
      </c>
      <c r="F41" s="42" t="inlineStr">
        <is>
          <t>P2</t>
        </is>
      </c>
      <c r="G41" s="34" t="inlineStr">
        <is>
          <t>AI/Brain/Agentic Review</t>
        </is>
      </c>
      <c r="H41" s="34" t="inlineStr">
        <is>
          <t>routers/brain_router.py:266-277,481-482</t>
        </is>
      </c>
      <c r="I41" s="34" t="inlineStr">
        <is>
          <t>L</t>
        </is>
      </c>
      <c r="J41" s="37" t="inlineStr">
        <is>
          <t>Backlog</t>
        </is>
      </c>
      <c r="K41" s="34" t="inlineStr"/>
      <c r="L41" s="34" t="inlineStr"/>
      <c r="M41" s="34" t="inlineStr"/>
      <c r="N41" s="41" t="inlineStr">
        <is>
          <t>No</t>
        </is>
      </c>
      <c r="O41" s="22" t="inlineStr"/>
    </row>
    <row r="42" ht="32" customHeight="1">
      <c r="A42" s="34" t="inlineStr">
        <is>
          <t>S4-09</t>
        </is>
      </c>
      <c r="B42" s="44" t="inlineStr">
        <is>
          <t>Sprint 4</t>
        </is>
      </c>
      <c r="C42" s="34" t="inlineStr">
        <is>
          <t>AI/Brain</t>
        </is>
      </c>
      <c r="D42" s="22" t="inlineStr">
        <is>
          <t>Add per-conversation agent memory</t>
        </is>
      </c>
      <c r="E42" s="22" t="inlineStr">
        <is>
          <t>Every LLM call gets a fresh random session_id; planner and synthesizer don't even share context.</t>
        </is>
      </c>
      <c r="F42" s="42" t="inlineStr">
        <is>
          <t>P2</t>
        </is>
      </c>
      <c r="G42" s="34" t="inlineStr">
        <is>
          <t>AI/Brain/Agentic Review</t>
        </is>
      </c>
      <c r="H42" s="34" t="inlineStr">
        <is>
          <t>routers/brain_router.py:95,353</t>
        </is>
      </c>
      <c r="I42" s="34" t="inlineStr">
        <is>
          <t>M</t>
        </is>
      </c>
      <c r="J42" s="37" t="inlineStr">
        <is>
          <t>Backlog</t>
        </is>
      </c>
      <c r="K42" s="34" t="inlineStr"/>
      <c r="L42" s="34" t="inlineStr"/>
      <c r="M42" s="34" t="inlineStr"/>
      <c r="N42" s="41" t="inlineStr">
        <is>
          <t>No</t>
        </is>
      </c>
      <c r="O42" s="22" t="inlineStr"/>
    </row>
    <row r="43" ht="32" customHeight="1">
      <c r="A43" s="34" t="inlineStr">
        <is>
          <t>S4-10</t>
        </is>
      </c>
      <c r="B43" s="44" t="inlineStr">
        <is>
          <t>Sprint 4</t>
        </is>
      </c>
      <c r="C43" s="34" t="inlineStr">
        <is>
          <t>AI/Brain</t>
        </is>
      </c>
      <c r="D43" s="22" t="inlineStr">
        <is>
          <t>Expand Brain write coverage to finance/workflow/meetings</t>
        </is>
      </c>
      <c r="E43" s="22" t="inlineStr">
        <is>
          <t>Only 6 write sites exist today; all payments/invoices/workflow-advance/meetings/ingestion events are invisible to the Brain.</t>
        </is>
      </c>
      <c r="F43" s="42" t="inlineStr">
        <is>
          <t>P2</t>
        </is>
      </c>
      <c r="G43" s="34" t="inlineStr">
        <is>
          <t>AI/Brain/Agentic Review</t>
        </is>
      </c>
      <c r="H43" s="34" t="inlineStr">
        <is>
          <t>ledger.py:521-838; server.py (workflow advance, meetings)</t>
        </is>
      </c>
      <c r="I43" s="34" t="inlineStr">
        <is>
          <t>L</t>
        </is>
      </c>
      <c r="J43" s="37" t="inlineStr">
        <is>
          <t>Backlog</t>
        </is>
      </c>
      <c r="K43" s="34" t="inlineStr"/>
      <c r="L43" s="34" t="inlineStr"/>
      <c r="M43" s="34" t="inlineStr"/>
      <c r="N43" s="41" t="inlineStr">
        <is>
          <t>No</t>
        </is>
      </c>
      <c r="O43" s="22" t="inlineStr"/>
    </row>
    <row r="44" ht="32" customHeight="1">
      <c r="A44" s="34" t="inlineStr">
        <is>
          <t>S4-11</t>
        </is>
      </c>
      <c r="B44" s="44" t="inlineStr">
        <is>
          <t>Sprint 4</t>
        </is>
      </c>
      <c r="C44" s="34" t="inlineStr">
        <is>
          <t>AI/Brain</t>
        </is>
      </c>
      <c r="D44" s="22" t="inlineStr">
        <is>
          <t>Make tag vocabulary tenant/industry-configurable</t>
        </is>
      </c>
      <c r="E44" s="22" t="inlineStr">
        <is>
          <t>_TAG_VOCAB is 10 hardcoded manufacturing buckets; clinics/restaurants/agencies get silently under-tagged, hurting retrieval recall.</t>
        </is>
      </c>
      <c r="F44" s="42" t="inlineStr">
        <is>
          <t>P2</t>
        </is>
      </c>
      <c r="G44" s="34" t="inlineStr">
        <is>
          <t>AI/Brain/Agentic Review</t>
        </is>
      </c>
      <c r="H44" s="34" t="inlineStr">
        <is>
          <t>services/brain_context.py:36-47</t>
        </is>
      </c>
      <c r="I44" s="34" t="inlineStr">
        <is>
          <t>M</t>
        </is>
      </c>
      <c r="J44" s="37" t="inlineStr">
        <is>
          <t>Backlog</t>
        </is>
      </c>
      <c r="K44" s="34" t="inlineStr"/>
      <c r="L44" s="34" t="inlineStr"/>
      <c r="M44" s="34" t="inlineStr"/>
      <c r="N44" s="41" t="inlineStr">
        <is>
          <t>No</t>
        </is>
      </c>
      <c r="O44" s="22" t="inlineStr"/>
    </row>
    <row r="45" ht="32" customHeight="1">
      <c r="A45" s="34" t="inlineStr">
        <is>
          <t>S5-01</t>
        </is>
      </c>
      <c r="B45" s="45" t="inlineStr">
        <is>
          <t>Sprint 5</t>
        </is>
      </c>
      <c r="C45" s="34" t="inlineStr">
        <is>
          <t>DevOps/Migration</t>
        </is>
      </c>
      <c r="D45" s="22" t="inlineStr">
        <is>
          <t>Stand up a staging environment</t>
        </is>
      </c>
      <c r="E45" s="22" t="inlineStr">
        <is>
          <t>Mirror production config/data shape so every fix above is verified before it touches real tenants.</t>
        </is>
      </c>
      <c r="F45" s="36" t="inlineStr">
        <is>
          <t>P0</t>
        </is>
      </c>
      <c r="G45" s="34" t="inlineStr">
        <is>
          <t>Go-Live Gate</t>
        </is>
      </c>
      <c r="H45" s="34" t="inlineStr">
        <is>
          <t>(infra)</t>
        </is>
      </c>
      <c r="I45" s="34" t="inlineStr">
        <is>
          <t>M</t>
        </is>
      </c>
      <c r="J45" s="37" t="inlineStr">
        <is>
          <t>Backlog</t>
        </is>
      </c>
      <c r="K45" s="34" t="inlineStr"/>
      <c r="L45" s="34" t="inlineStr"/>
      <c r="M45" s="34" t="inlineStr"/>
      <c r="N45" s="23" t="inlineStr">
        <is>
          <t>Yes</t>
        </is>
      </c>
      <c r="O45" s="22" t="inlineStr"/>
    </row>
    <row r="46" ht="32" customHeight="1">
      <c r="A46" s="34" t="inlineStr">
        <is>
          <t>S5-02</t>
        </is>
      </c>
      <c r="B46" s="45" t="inlineStr">
        <is>
          <t>Sprint 5</t>
        </is>
      </c>
      <c r="C46" s="34" t="inlineStr">
        <is>
          <t>DevOps/Migration</t>
        </is>
      </c>
      <c r="D46" s="22" t="inlineStr">
        <is>
          <t>Run a load test at target scale</t>
        </is>
      </c>
      <c r="E46" s="22" t="inlineStr">
        <is>
          <t>Simulate ~100 tenants / concurrent voice-capture + dashboard traffic; this is the single test that most moves go-live confidence.</t>
        </is>
      </c>
      <c r="F46" s="36" t="inlineStr">
        <is>
          <t>P0</t>
        </is>
      </c>
      <c r="G46" s="34" t="inlineStr">
        <is>
          <t>Go-Live Gate</t>
        </is>
      </c>
      <c r="H46" s="34" t="inlineStr">
        <is>
          <t>(new)</t>
        </is>
      </c>
      <c r="I46" s="34" t="inlineStr">
        <is>
          <t>M</t>
        </is>
      </c>
      <c r="J46" s="37" t="inlineStr">
        <is>
          <t>Backlog</t>
        </is>
      </c>
      <c r="K46" s="34" t="inlineStr"/>
      <c r="L46" s="34" t="inlineStr"/>
      <c r="M46" s="34" t="inlineStr"/>
      <c r="N46" s="23" t="inlineStr">
        <is>
          <t>Yes</t>
        </is>
      </c>
      <c r="O46" s="22" t="inlineStr"/>
    </row>
    <row r="47" ht="32" customHeight="1">
      <c r="A47" s="34" t="inlineStr">
        <is>
          <t>S5-03</t>
        </is>
      </c>
      <c r="B47" s="45" t="inlineStr">
        <is>
          <t>Sprint 5</t>
        </is>
      </c>
      <c r="C47" s="34" t="inlineStr">
        <is>
          <t>DevOps/Migration</t>
        </is>
      </c>
      <c r="D47" s="22" t="inlineStr">
        <is>
          <t>Add observability (Sentry + structured logs + APM)</t>
        </is>
      </c>
      <c r="E47" s="22" t="inlineStr">
        <is>
          <t>No error tracker exists today; you will not learn about production bugs until a customer reports them.</t>
        </is>
      </c>
      <c r="F47" s="36" t="inlineStr">
        <is>
          <t>P0</t>
        </is>
      </c>
      <c r="G47" s="34" t="inlineStr">
        <is>
          <t>SaaS Readiness Review</t>
        </is>
      </c>
      <c r="H47" s="34" t="inlineStr">
        <is>
          <t>(missing)</t>
        </is>
      </c>
      <c r="I47" s="34" t="inlineStr">
        <is>
          <t>M</t>
        </is>
      </c>
      <c r="J47" s="37" t="inlineStr">
        <is>
          <t>Backlog</t>
        </is>
      </c>
      <c r="K47" s="34" t="inlineStr"/>
      <c r="L47" s="34" t="inlineStr"/>
      <c r="M47" s="34" t="inlineStr"/>
      <c r="N47" s="23" t="inlineStr">
        <is>
          <t>Yes</t>
        </is>
      </c>
      <c r="O47" s="22" t="inlineStr"/>
    </row>
    <row r="48" ht="32" customHeight="1">
      <c r="A48" s="34" t="inlineStr">
        <is>
          <t>S5-04</t>
        </is>
      </c>
      <c r="B48" s="45" t="inlineStr">
        <is>
          <t>Sprint 5</t>
        </is>
      </c>
      <c r="C48" s="34" t="inlineStr">
        <is>
          <t>DevOps/Migration</t>
        </is>
      </c>
      <c r="D48" s="22" t="inlineStr">
        <is>
          <t>Write + TEST a backup/restore runbook</t>
        </is>
      </c>
      <c r="E48" s="22" t="inlineStr">
        <is>
          <t>No documented Mongo backup strategy anywhere. Define RPO/RTO and actually run a restore drill, not just a doc.</t>
        </is>
      </c>
      <c r="F48" s="36" t="inlineStr">
        <is>
          <t>P0</t>
        </is>
      </c>
      <c r="G48" s="34" t="inlineStr">
        <is>
          <t>SaaS Readiness Review</t>
        </is>
      </c>
      <c r="H48" s="34" t="inlineStr">
        <is>
          <t>(missing)</t>
        </is>
      </c>
      <c r="I48" s="34" t="inlineStr">
        <is>
          <t>M</t>
        </is>
      </c>
      <c r="J48" s="37" t="inlineStr">
        <is>
          <t>Backlog</t>
        </is>
      </c>
      <c r="K48" s="34" t="inlineStr"/>
      <c r="L48" s="34" t="inlineStr"/>
      <c r="M48" s="34" t="inlineStr"/>
      <c r="N48" s="23" t="inlineStr">
        <is>
          <t>Yes</t>
        </is>
      </c>
      <c r="O48" s="22" t="inlineStr"/>
    </row>
    <row r="49" ht="32" customHeight="1">
      <c r="A49" s="34" t="inlineStr">
        <is>
          <t>S5-05</t>
        </is>
      </c>
      <c r="B49" s="45" t="inlineStr">
        <is>
          <t>Sprint 5</t>
        </is>
      </c>
      <c r="C49" s="34" t="inlineStr">
        <is>
          <t>DevOps/Migration</t>
        </is>
      </c>
      <c r="D49" s="22" t="inlineStr">
        <is>
          <t>Data migration plan for schema changes above</t>
        </is>
      </c>
      <c r="E49" s="22" t="inlineStr">
        <is>
          <t>Freeze the production data model, script every schema change introduced in Sprints 0-3 (indexes, new tenant fields, brain_context linkage), dry-run against a staging copy of real-shaped data.</t>
        </is>
      </c>
      <c r="F49" s="36" t="inlineStr">
        <is>
          <t>P0</t>
        </is>
      </c>
      <c r="G49" s="34" t="inlineStr">
        <is>
          <t>Go-Live Gate</t>
        </is>
      </c>
      <c r="H49" s="34" t="inlineStr">
        <is>
          <t>(new)</t>
        </is>
      </c>
      <c r="I49" s="34" t="inlineStr">
        <is>
          <t>L</t>
        </is>
      </c>
      <c r="J49" s="37" t="inlineStr">
        <is>
          <t>Backlog</t>
        </is>
      </c>
      <c r="K49" s="34" t="inlineStr"/>
      <c r="L49" s="34" t="inlineStr"/>
      <c r="M49" s="34" t="inlineStr"/>
      <c r="N49" s="23" t="inlineStr">
        <is>
          <t>Yes</t>
        </is>
      </c>
      <c r="O49" s="22" t="inlineStr"/>
    </row>
    <row r="50" ht="32" customHeight="1">
      <c r="A50" s="34" t="inlineStr">
        <is>
          <t>S5-06</t>
        </is>
      </c>
      <c r="B50" s="45" t="inlineStr">
        <is>
          <t>Sprint 5</t>
        </is>
      </c>
      <c r="C50" s="34" t="inlineStr">
        <is>
          <t>DevOps/Migration</t>
        </is>
      </c>
      <c r="D50" s="22" t="inlineStr">
        <is>
          <t>Stand up CI/CD</t>
        </is>
      </c>
      <c r="E50" s="22" t="inlineStr">
        <is>
          <t>Build + test + deploy pipeline gated on the existing pytest suite passing; no more manual deploys.</t>
        </is>
      </c>
      <c r="F50" s="38" t="inlineStr">
        <is>
          <t>P1</t>
        </is>
      </c>
      <c r="G50" s="34" t="inlineStr">
        <is>
          <t>Go-Live Gate</t>
        </is>
      </c>
      <c r="H50" s="34" t="inlineStr">
        <is>
          <t>backend/pytest.ini, backend/tests/</t>
        </is>
      </c>
      <c r="I50" s="34" t="inlineStr">
        <is>
          <t>M</t>
        </is>
      </c>
      <c r="J50" s="37" t="inlineStr">
        <is>
          <t>Backlog</t>
        </is>
      </c>
      <c r="K50" s="34" t="inlineStr"/>
      <c r="L50" s="34" t="inlineStr"/>
      <c r="M50" s="34" t="inlineStr"/>
      <c r="N50" s="23" t="inlineStr">
        <is>
          <t>Yes</t>
        </is>
      </c>
      <c r="O50" s="22" t="inlineStr"/>
    </row>
    <row r="51" ht="32" customHeight="1">
      <c r="A51" s="34" t="inlineStr">
        <is>
          <t>S5-07</t>
        </is>
      </c>
      <c r="B51" s="45" t="inlineStr">
        <is>
          <t>Sprint 5</t>
        </is>
      </c>
      <c r="C51" s="34" t="inlineStr">
        <is>
          <t>DevOps/Migration</t>
        </is>
      </c>
      <c r="D51" s="22" t="inlineStr">
        <is>
          <t>Define a rollback procedure</t>
        </is>
      </c>
      <c r="E51" s="22" t="inlineStr">
        <is>
          <t>A tested, written-down path to revert a bad deploy fast, including the Sprint 5-05 migrations.</t>
        </is>
      </c>
      <c r="F51" s="38" t="inlineStr">
        <is>
          <t>P1</t>
        </is>
      </c>
      <c r="G51" s="34" t="inlineStr">
        <is>
          <t>Go-Live Gate</t>
        </is>
      </c>
      <c r="H51" s="34" t="inlineStr">
        <is>
          <t>(new)</t>
        </is>
      </c>
      <c r="I51" s="34" t="inlineStr">
        <is>
          <t>S</t>
        </is>
      </c>
      <c r="J51" s="37" t="inlineStr">
        <is>
          <t>Backlog</t>
        </is>
      </c>
      <c r="K51" s="34" t="inlineStr"/>
      <c r="L51" s="34" t="inlineStr"/>
      <c r="M51" s="34" t="inlineStr"/>
      <c r="N51" s="23" t="inlineStr">
        <is>
          <t>Yes</t>
        </is>
      </c>
      <c r="O51" s="22" t="inlineStr"/>
    </row>
    <row r="52" ht="32" customHeight="1">
      <c r="A52" s="34" t="inlineStr">
        <is>
          <t>S5-08</t>
        </is>
      </c>
      <c r="B52" s="45" t="inlineStr">
        <is>
          <t>Sprint 5</t>
        </is>
      </c>
      <c r="C52" s="34" t="inlineStr">
        <is>
          <t>DevOps/Migration</t>
        </is>
      </c>
      <c r="D52" s="22" t="inlineStr">
        <is>
          <t>Move secrets to a real secrets manager</t>
        </is>
      </c>
      <c r="E52" s="22" t="inlineStr">
        <is>
          <t>Rotate JWT_SECRET/DB creds/API keys out of .env into the platform's secret store; confirm .env is never in the image.</t>
        </is>
      </c>
      <c r="F52" s="36" t="inlineStr">
        <is>
          <t>P0</t>
        </is>
      </c>
      <c r="G52" s="34" t="inlineStr">
        <is>
          <t>SaaS Readiness Review</t>
        </is>
      </c>
      <c r="H52" s="34" t="inlineStr">
        <is>
          <t>backend/.env, config.py</t>
        </is>
      </c>
      <c r="I52" s="34" t="inlineStr">
        <is>
          <t>S</t>
        </is>
      </c>
      <c r="J52" s="37" t="inlineStr">
        <is>
          <t>Backlog</t>
        </is>
      </c>
      <c r="K52" s="34" t="inlineStr"/>
      <c r="L52" s="34" t="inlineStr"/>
      <c r="M52" s="34" t="inlineStr"/>
      <c r="N52" s="23" t="inlineStr">
        <is>
          <t>Yes</t>
        </is>
      </c>
      <c r="O52" s="22" t="inlineStr"/>
    </row>
    <row r="53" ht="32" customHeight="1">
      <c r="A53" s="34" t="inlineStr">
        <is>
          <t>S5-09</t>
        </is>
      </c>
      <c r="B53" s="45" t="inlineStr">
        <is>
          <t>Sprint 5</t>
        </is>
      </c>
      <c r="C53" s="34" t="inlineStr">
        <is>
          <t>DevOps/Migration</t>
        </is>
      </c>
      <c r="D53" s="22" t="inlineStr">
        <is>
          <t>Staged rollout plan (5 -&gt; 20 -&gt; 50 -&gt; 100)</t>
        </is>
      </c>
      <c r="E53" s="22" t="inlineStr">
        <is>
          <t>Do not flip on 100 clients cold. Roll out in stages with a monitoring checkpoint + explicit go/no-go at each step.</t>
        </is>
      </c>
      <c r="F53" s="36" t="inlineStr">
        <is>
          <t>P0</t>
        </is>
      </c>
      <c r="G53" s="34" t="inlineStr">
        <is>
          <t>Go-Live Gate</t>
        </is>
      </c>
      <c r="H53" s="34" t="inlineStr">
        <is>
          <t>(process)</t>
        </is>
      </c>
      <c r="I53" s="34" t="inlineStr">
        <is>
          <t>S</t>
        </is>
      </c>
      <c r="J53" s="37" t="inlineStr">
        <is>
          <t>Backlog</t>
        </is>
      </c>
      <c r="K53" s="34" t="inlineStr"/>
      <c r="L53" s="34" t="inlineStr"/>
      <c r="M53" s="34" t="inlineStr"/>
      <c r="N53" s="23" t="inlineStr">
        <is>
          <t>Yes</t>
        </is>
      </c>
      <c r="O53" s="22" t="inlineStr"/>
    </row>
    <row r="54" ht="32" customHeight="1">
      <c r="A54" s="34" t="inlineStr">
        <is>
          <t>S5-10</t>
        </is>
      </c>
      <c r="B54" s="45" t="inlineStr">
        <is>
          <t>Sprint 5</t>
        </is>
      </c>
      <c r="C54" s="34" t="inlineStr">
        <is>
          <t>DevOps/Migration</t>
        </is>
      </c>
      <c r="D54" s="22" t="inlineStr">
        <is>
          <t>Final go/no-go review</t>
        </is>
      </c>
      <c r="E54" s="22" t="inlineStr">
        <is>
          <t>Walk the Go-Live Checklist tab end to end with the team before opening self-serve signup or onboarding client #1.</t>
        </is>
      </c>
      <c r="F54" s="36" t="inlineStr">
        <is>
          <t>P0</t>
        </is>
      </c>
      <c r="G54" s="34" t="inlineStr">
        <is>
          <t>Go-Live Gate</t>
        </is>
      </c>
      <c r="H54" s="34" t="inlineStr">
        <is>
          <t>(process)</t>
        </is>
      </c>
      <c r="I54" s="34" t="inlineStr">
        <is>
          <t>S</t>
        </is>
      </c>
      <c r="J54" s="37" t="inlineStr">
        <is>
          <t>Backlog</t>
        </is>
      </c>
      <c r="K54" s="34" t="inlineStr"/>
      <c r="L54" s="34" t="inlineStr"/>
      <c r="M54" s="34" t="inlineStr"/>
      <c r="N54" s="23" t="inlineStr">
        <is>
          <t>Yes</t>
        </is>
      </c>
      <c r="O54" s="22" t="inlineStr"/>
    </row>
  </sheetData>
  <conditionalFormatting sqref="J2:J54">
    <cfRule type="cellIs" priority="1" operator="equal" dxfId="2">
      <formula>"Backlog"</formula>
    </cfRule>
    <cfRule type="cellIs" priority="2" operator="equal" dxfId="3">
      <formula>"To Do"</formula>
    </cfRule>
    <cfRule type="cellIs" priority="3" operator="equal" dxfId="4">
      <formula>"In Progress"</formula>
    </cfRule>
    <cfRule type="cellIs" priority="4" operator="equal" dxfId="5">
      <formula>"Blocked"</formula>
    </cfRule>
    <cfRule type="cellIs" priority="5" operator="equal" dxfId="6">
      <formula>"In Review"</formula>
    </cfRule>
    <cfRule type="cellIs" priority="6" operator="equal" dxfId="7">
      <formula>"Done"</formula>
    </cfRule>
  </conditionalFormatting>
  <dataValidations count="3">
    <dataValidation sqref="J2:J54" showDropDown="0" showInputMessage="0" showErrorMessage="0" allowBlank="0" type="list">
      <formula1>"Backlog,To Do,In Progress,Blocked,In Review,Done"</formula1>
    </dataValidation>
    <dataValidation sqref="B2:B54" showDropDown="0" showInputMessage="0" showErrorMessage="0" allowBlank="0" type="list">
      <formula1>"Sprint 0,Sprint 1,Sprint 2,Sprint 3,Sprint 4,Sprint 5"</formula1>
    </dataValidation>
    <dataValidation sqref="F2:F54" showDropDown="0" showInputMessage="0" showErrorMessage="0" allowBlank="0" type="list">
      <formula1>"P0,P1,P2"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2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1" customWidth="1" min="1" max="1"/>
    <col width="22" customWidth="1" min="2" max="2"/>
    <col width="12" customWidth="1" min="3" max="3"/>
    <col width="32" customWidth="1" min="4" max="4"/>
    <col width="55" customWidth="1" min="5" max="5"/>
    <col width="40" customWidth="1" min="6" max="6"/>
    <col width="40" customWidth="1" min="7" max="7"/>
    <col width="13" customWidth="1" min="8" max="8"/>
    <col width="9" customWidth="1" min="9" max="9"/>
    <col width="12" customWidth="1" min="10" max="10"/>
    <col width="12" customWidth="1" min="11" max="11"/>
    <col width="22" customWidth="1" min="12" max="12"/>
    <col width="45" customWidth="1" min="13" max="13"/>
  </cols>
  <sheetData>
    <row r="1">
      <c r="A1" s="61" t="inlineStr">
        <is>
          <t>Fix Log — every change we make, in order</t>
        </is>
      </c>
    </row>
    <row r="2">
      <c r="A2" s="15" t="inlineStr">
        <is>
          <t>The running record of code changes: which finding it closes, what files it touches, which tests cover it, current status, and any gotchas. Grows as we ship fixes.</t>
        </is>
      </c>
    </row>
    <row r="4">
      <c r="A4" s="4" t="inlineStr">
        <is>
          <t>Module in progress</t>
        </is>
      </c>
    </row>
    <row r="5" ht="24" customHeight="1">
      <c r="A5" s="20" t="inlineStr">
        <is>
          <t>Module</t>
        </is>
      </c>
      <c r="B5" s="20" t="inlineStr">
        <is>
          <t>Name</t>
        </is>
      </c>
      <c r="C5" s="20" t="inlineStr">
        <is>
          <t>What it delivers</t>
        </is>
      </c>
      <c r="D5" s="20" t="inlineStr">
        <is>
          <t>Priority</t>
        </is>
      </c>
      <c r="E5" s="20" t="inlineStr">
        <is>
          <t>Related Backlog / Test Plan</t>
        </is>
      </c>
    </row>
    <row r="6" ht="60" customHeight="1">
      <c r="A6" s="94" t="inlineStr">
        <is>
          <t>Module 1</t>
        </is>
      </c>
      <c r="B6" s="95" t="inlineStr">
        <is>
          <t>Multi-tenant / Dynamic Workflows</t>
        </is>
      </c>
      <c r="C6" s="95" t="inlineStr">
        <is>
          <t>Make the product actually work for any small business (bakery, salon, boutique, clinic, workshop), not just the textile demo tenant. Unblocks Day-1 onboarding for non-textile pilots.</t>
        </is>
      </c>
      <c r="D6" s="95" t="inlineStr">
        <is>
          <t>P0 — the product's core 'shaped around your workflow' promise doesn't deliver without this.</t>
        </is>
      </c>
      <c r="E6" s="95" t="inlineStr">
        <is>
          <t>Sprint 1 (WF-1, WF-2, WF-3, WF-4 in Testing Plan) + Sprint 2 (S2-01, S2-02)</t>
        </is>
      </c>
    </row>
    <row r="8">
      <c r="A8" s="4" t="inlineStr">
        <is>
          <t>Fix Log entries</t>
        </is>
      </c>
    </row>
    <row r="9" ht="30" customHeight="1">
      <c r="A9" s="62" t="inlineStr">
        <is>
          <t>Fix ID</t>
        </is>
      </c>
      <c r="B9" s="62" t="inlineStr">
        <is>
          <t>Module</t>
        </is>
      </c>
      <c r="C9" s="62" t="inlineStr">
        <is>
          <t>Backlog ID</t>
        </is>
      </c>
      <c r="D9" s="62" t="inlineStr">
        <is>
          <t>Title</t>
        </is>
      </c>
      <c r="E9" s="62" t="inlineStr">
        <is>
          <t>Description</t>
        </is>
      </c>
      <c r="F9" s="62" t="inlineStr">
        <is>
          <t>Files touched</t>
        </is>
      </c>
      <c r="G9" s="62" t="inlineStr">
        <is>
          <t>Related tests</t>
        </is>
      </c>
      <c r="H9" s="63" t="inlineStr">
        <is>
          <t>Status</t>
        </is>
      </c>
      <c r="I9" s="62" t="inlineStr">
        <is>
          <t>Priority</t>
        </is>
      </c>
      <c r="J9" s="63" t="inlineStr">
        <is>
          <t>Started</t>
        </is>
      </c>
      <c r="K9" s="63" t="inlineStr">
        <is>
          <t>Finished</t>
        </is>
      </c>
      <c r="L9" s="63" t="inlineStr">
        <is>
          <t>PR / Commit</t>
        </is>
      </c>
      <c r="M9" s="63" t="inlineStr">
        <is>
          <t>Notes / gotchas</t>
        </is>
      </c>
    </row>
    <row r="10" ht="105" customHeight="1">
      <c r="A10" s="96" t="inlineStr">
        <is>
          <t>FIX-001-A</t>
        </is>
      </c>
      <c r="B10" s="96" t="inlineStr">
        <is>
          <t>Multi-tenant / Dynamic Workflows</t>
        </is>
      </c>
      <c r="C10" s="96" t="inlineStr">
        <is>
          <t>S1-06</t>
        </is>
      </c>
      <c r="D10" s="22" t="inlineStr">
        <is>
          <t>Kill purchase_payment textile hardcode</t>
        </is>
      </c>
      <c r="E10" s="22" t="inlineStr">
        <is>
          <t>Owner-approval loop + 'pending purchases' dashboard + payment-overdue alerts currently only fire when a workflow's type equals the literal string 'purchase_payment' (the textile demo pipeline key). For any AI-designed pipeline (e.g. 'procurement', 'ingredient_purchase', 'salon_restock'), these features silently break. Replace the hardcode with per-tenant pipeline lookup via the tenant's operating_model.</t>
        </is>
      </c>
      <c r="F10" s="22" t="inlineStr">
        <is>
          <t>routers/decisions.py:166; server.py:2429; routers/brief.py:95,98,238,262</t>
        </is>
      </c>
      <c r="G10" s="22" t="inlineStr">
        <is>
          <t>tests/test_workflows_dynamic.py (new) — non-textile approval loop, dashboard, brief</t>
        </is>
      </c>
      <c r="H10" s="37" t="inlineStr">
        <is>
          <t>Planning</t>
        </is>
      </c>
      <c r="I10" s="42" t="inlineStr">
        <is>
          <t>P0</t>
        </is>
      </c>
      <c r="J10" s="96" t="inlineStr"/>
      <c r="K10" s="96" t="inlineStr"/>
      <c r="L10" s="96" t="inlineStr"/>
      <c r="M10" s="22" t="inlineStr">
        <is>
          <t>Discovered as WF-1 in AI/Brain/Agentic review. Founder confirmed the target market is any small business (bakery, salon, boutique, clinic, workshop) not just textile manufacturers — so this is a Day-1 unblock for any non-textile pilot.</t>
        </is>
      </c>
    </row>
    <row r="11" ht="105" customHeight="1">
      <c r="A11" s="96" t="inlineStr">
        <is>
          <t>FIX-001-B</t>
        </is>
      </c>
      <c r="B11" s="96" t="inlineStr">
        <is>
          <t>Multi-tenant / Dynamic Workflows</t>
        </is>
      </c>
      <c r="C11" s="96" t="inlineStr">
        <is>
          <t>(newly discovered)</t>
        </is>
      </c>
      <c r="D11" s="22" t="inlineStr">
        <is>
          <t>Wire workflow-advance to auto-create Finance expense on final stage</t>
        </is>
      </c>
      <c r="E11" s="22" t="inlineStr">
        <is>
          <t>When a workflow card advances to its final 'paid' stage (or the dynamic equivalent), auto-create an Expense in db.expenses via create_expense() with the workflow's amount + counterparty, and store a workflow_id link on the expense so the two records are traceable. Currently the workflow-advance handler (server.py:2236) only updates the card's stage — Finance never learns about the purchase, so the founder has to record it twice.</t>
        </is>
      </c>
      <c r="F11" s="22" t="inlineStr">
        <is>
          <t>server.py:2236 (advance_workflow); routers/ledger.py:222 (create_expense)</t>
        </is>
      </c>
      <c r="G11" s="22" t="inlineStr">
        <is>
          <t>tests/test_workflow_finance_link.py (new) — advance to paid -&gt; expense created + linked</t>
        </is>
      </c>
      <c r="H11" s="37" t="inlineStr">
        <is>
          <t>Planning</t>
        </is>
      </c>
      <c r="I11" s="42" t="inlineStr">
        <is>
          <t>P1</t>
        </is>
      </c>
      <c r="J11" s="96" t="inlineStr"/>
      <c r="K11" s="96" t="inlineStr"/>
      <c r="L11" s="96" t="inlineStr"/>
      <c r="M11" s="22" t="inlineStr">
        <is>
          <t>Not in the original audit. Surfaced when the founder asked 'will it go to Finance directly?' Genuine product gap: today the workflow board and Finance are two parallel systems that don't communicate. Fix makes the loop honest so P&amp;L and CEO Brief reflect real spend.</t>
        </is>
      </c>
    </row>
    <row r="14">
      <c r="A14" s="57" t="inlineStr">
        <is>
          <t>Status legend:</t>
        </is>
      </c>
    </row>
    <row r="15">
      <c r="A15" s="37" t="inlineStr">
        <is>
          <t>Not Started</t>
        </is>
      </c>
      <c r="B15" s="97" t="inlineStr">
        <is>
          <t>In the backlog, no work yet</t>
        </is>
      </c>
    </row>
    <row r="16">
      <c r="A16" s="98" t="inlineStr">
        <is>
          <t>Planning</t>
        </is>
      </c>
      <c r="B16" s="97" t="inlineStr">
        <is>
          <t>Reading code, scoping the fix, drafting the approach</t>
        </is>
      </c>
    </row>
    <row r="17">
      <c r="A17" s="99" t="inlineStr">
        <is>
          <t>In Progress</t>
        </is>
      </c>
      <c r="B17" s="97" t="inlineStr">
        <is>
          <t>Writing the fix</t>
        </is>
      </c>
    </row>
    <row r="18">
      <c r="A18" s="38" t="inlineStr">
        <is>
          <t>Code Review</t>
        </is>
      </c>
      <c r="B18" s="97" t="inlineStr">
        <is>
          <t>Fix written, awaiting review / self-review</t>
        </is>
      </c>
    </row>
    <row r="19">
      <c r="A19" s="100" t="inlineStr">
        <is>
          <t>Testing</t>
        </is>
      </c>
      <c r="B19" s="97" t="inlineStr">
        <is>
          <t>Tests running (unit + integration + manual)</t>
        </is>
      </c>
    </row>
    <row r="20">
      <c r="A20" s="101" t="inlineStr">
        <is>
          <t>Done</t>
        </is>
      </c>
      <c r="B20" s="97" t="inlineStr">
        <is>
          <t>Merged + tests green + verified on staging</t>
        </is>
      </c>
    </row>
    <row r="21">
      <c r="A21" s="36" t="inlineStr">
        <is>
          <t>Blocked</t>
        </is>
      </c>
      <c r="B21" s="97" t="inlineStr">
        <is>
          <t>Waiting on an external dependency or decision</t>
        </is>
      </c>
    </row>
    <row r="22">
      <c r="A22" s="36" t="inlineStr">
        <is>
          <t>Rolled Back</t>
        </is>
      </c>
      <c r="B22" s="97" t="inlineStr">
        <is>
          <t>Shipped, broke something, reverted (record it, don't hide it)</t>
        </is>
      </c>
    </row>
  </sheetData>
  <mergeCells count="10">
    <mergeCell ref="B17:E17"/>
    <mergeCell ref="B18:E18"/>
    <mergeCell ref="A1:M1"/>
    <mergeCell ref="B21:E21"/>
    <mergeCell ref="B16:E16"/>
    <mergeCell ref="B15:E15"/>
    <mergeCell ref="B19:E19"/>
    <mergeCell ref="B20:E20"/>
    <mergeCell ref="A2:M2"/>
    <mergeCell ref="B22:E22"/>
  </mergeCells>
  <conditionalFormatting sqref="H10:H500">
    <cfRule type="cellIs" priority="1" operator="equal" dxfId="2">
      <formula>"Not Started"</formula>
    </cfRule>
    <cfRule type="cellIs" priority="2" operator="equal" dxfId="3">
      <formula>"Planning"</formula>
    </cfRule>
    <cfRule type="cellIs" priority="3" operator="equal" dxfId="4">
      <formula>"In Progress"</formula>
    </cfRule>
    <cfRule type="cellIs" priority="4" operator="equal" dxfId="6">
      <formula>"Code Review"</formula>
    </cfRule>
    <cfRule type="cellIs" priority="5" operator="equal" dxfId="8">
      <formula>"Testing"</formula>
    </cfRule>
    <cfRule type="cellIs" priority="6" operator="equal" dxfId="7">
      <formula>"Done"</formula>
    </cfRule>
    <cfRule type="cellIs" priority="7" operator="equal" dxfId="5">
      <formula>"Blocked"</formula>
    </cfRule>
    <cfRule type="cellIs" priority="8" operator="equal" dxfId="5">
      <formula>"Rolled Back"</formula>
    </cfRule>
  </conditionalFormatting>
  <dataValidations count="2">
    <dataValidation sqref="H10:H500" showDropDown="0" showInputMessage="0" showErrorMessage="0" allowBlank="0" type="list">
      <formula1>"Not Started,Planning,In Progress,Code Review,Testing,Done,Blocked,Rolled Back"</formula1>
    </dataValidation>
    <dataValidation sqref="I10:I500" showDropDown="0" showInputMessage="0" showErrorMessage="0" allowBlank="0" type="list">
      <formula1>"P0,P1,P2"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34" customWidth="1" min="3" max="3"/>
    <col width="34" customWidth="1" min="4" max="4"/>
    <col width="34" customWidth="1" min="5" max="5"/>
    <col width="34" customWidth="1" min="6" max="6"/>
  </cols>
  <sheetData>
    <row r="1">
      <c r="A1" s="46" t="inlineStr">
        <is>
          <t>Roadmap Kanban Board — swimlanes = Sprints, cards color-coded by Priority</t>
        </is>
      </c>
    </row>
    <row r="2">
      <c r="A2" s="47" t="inlineStr">
        <is>
          <t>Snapshot view for planning. To track day-to-day status changes, edit the Task Backlog tab.</t>
        </is>
      </c>
    </row>
    <row r="4" ht="42" customHeight="1">
      <c r="A4" s="48" t="inlineStr">
        <is>
          <t>Sprint 0
Critical Security &amp; Auth  (GATE)</t>
        </is>
      </c>
      <c r="B4" s="49" t="inlineStr">
        <is>
          <t>Sprint 1
Scale &amp; Operational Blockers  (GATE)</t>
        </is>
      </c>
      <c r="C4" s="50" t="inlineStr">
        <is>
          <t>Sprint 2
Tenancy Hygiene &amp; Data Integrity  (parallel)</t>
        </is>
      </c>
      <c r="D4" s="51" t="inlineStr">
        <is>
          <t>Sprint 3
Billing &amp; Multi-Tenant AI Keys  (GATE)</t>
        </is>
      </c>
      <c r="E4" s="52" t="inlineStr">
        <is>
          <t>Sprint 4
AI Brain / Agentic Enhancement  (parallel)</t>
        </is>
      </c>
      <c r="F4" s="53" t="inlineStr">
        <is>
          <t>Sprint 5
DevOps, Deployment &amp; Data Migration  (GATE)</t>
        </is>
      </c>
    </row>
    <row r="5" ht="46" customHeight="1">
      <c r="A5" s="54" t="inlineStr">
        <is>
          <t>[S0-01] Remove hardcoded superadmin default credentials
(Security/Auth)</t>
        </is>
      </c>
      <c r="B5" s="54" t="inlineStr">
        <is>
          <t>[S1-01] Externalize the follow-up scheduler
(Scale/Ops)</t>
        </is>
      </c>
      <c r="C5" s="55" t="inlineStr">
        <is>
          <t>[S2-01] Add _ensure_owned() helper
(Tenancy/Data)</t>
        </is>
      </c>
      <c r="D5" s="54" t="inlineStr">
        <is>
          <t>[S3-01] Integrate real billing (Stripe or Razorpay)
(Billing/AI-Keys)</t>
        </is>
      </c>
      <c r="E5" s="56" t="inlineStr">
        <is>
          <t>[S4-01] Fix text-index stemming + index db.memory
(AI/Brain)</t>
        </is>
      </c>
      <c r="F5" s="54" t="inlineStr">
        <is>
          <t>[S5-01] Stand up a staging environment
(DevOps/Migration)</t>
        </is>
      </c>
    </row>
    <row r="6" ht="46" customHeight="1">
      <c r="A6" s="54" t="inlineStr">
        <is>
          <t>[S0-02] Fix CORS wildcard + credentials
(Security/Auth)</t>
        </is>
      </c>
      <c r="B6" s="54" t="inlineStr">
        <is>
          <t>[S1-02] Index phone, drop Python-side filter
(Scale/Ops)</t>
        </is>
      </c>
      <c r="C6" s="55" t="inlineStr">
        <is>
          <t>[S2-02] Complete TENANT_COLLECTIONS wipe
(Tenancy/Data)</t>
        </is>
      </c>
      <c r="D6" s="55" t="inlineStr">
        <is>
          <t>[S3-02] Add plan / entitlement fields to tenant doc
(Billing/AI-Keys)</t>
        </is>
      </c>
      <c r="E6" s="55" t="inlineStr">
        <is>
          <t>[S4-02] Fix task-done Brain write-coverage gap + link provenance
(AI/Brain)</t>
        </is>
      </c>
      <c r="F6" s="54" t="inlineStr">
        <is>
          <t>[S5-02] Run a load test at target scale
(DevOps/Migration)</t>
        </is>
      </c>
    </row>
    <row r="7" ht="46" customHeight="1">
      <c r="A7" s="54" t="inlineStr">
        <is>
          <t>[S0-03] Auth-gate file downloads
(Security/Auth)</t>
        </is>
      </c>
      <c r="B7" s="54" t="inlineStr">
        <is>
          <t>[S1-03] Move all uploads to obj_store
(Scale/Ops)</t>
        </is>
      </c>
      <c r="C7" s="54" t="inlineStr">
        <is>
          <t>[S2-03] Tenant-scope OTP + WhatsApp phone routing
(Tenancy/Data)</t>
        </is>
      </c>
      <c r="D7" s="54" t="inlineStr">
        <is>
          <t>[S3-03] Per-tenant AI key resolver
(Billing/AI-Keys)</t>
        </is>
      </c>
      <c r="E7" s="56" t="inlineStr">
        <is>
          <t>[S4-03] Rename brain_contexts -&gt; brain_query_cache
(AI/Brain)</t>
        </is>
      </c>
      <c r="F7" s="54" t="inlineStr">
        <is>
          <t>[S5-03] Add observability (Sentry + structured logs + APM)
(DevOps/Migration)</t>
        </is>
      </c>
    </row>
    <row r="8" ht="46" customHeight="1">
      <c r="A8" s="54" t="inlineStr">
        <is>
          <t>[S0-04] Kill dev-mode OTP leak
(Security/Auth)</t>
        </is>
      </c>
      <c r="B8" s="54" t="inlineStr">
        <is>
          <t>[S1-04] Commit real deployment config
(Scale/Ops)</t>
        </is>
      </c>
      <c r="C8" s="55" t="inlineStr">
        <is>
          <t>[S2-04] Fix cross-tenant WhatsApp log leak
(Tenancy/Data)</t>
        </is>
      </c>
      <c r="D8" s="55" t="inlineStr">
        <is>
          <t>[S3-04] Enforce usage quotas (402 on exceed)
(Billing/AI-Keys)</t>
        </is>
      </c>
      <c r="E8" s="55" t="inlineStr">
        <is>
          <t>[S4-04] Unify /ask and /brain/agent retrieval reach
(AI/Brain)</t>
        </is>
      </c>
      <c r="F8" s="54" t="inlineStr">
        <is>
          <t>[S5-04] Write + TEST a backup/restore runbook
(DevOps/Migration)</t>
        </is>
      </c>
    </row>
    <row r="9" ht="46" customHeight="1">
      <c r="A9" s="54" t="inlineStr">
        <is>
          <t>[S0-05] Fix WhatsApp signature bypass
(Security/Auth)</t>
        </is>
      </c>
      <c r="B9" s="55" t="inlineStr">
        <is>
          <t>[S1-05] Timeout + concurrency-limit LLM calls
(Scale/Ops)</t>
        </is>
      </c>
      <c r="C9" s="56" t="inlineStr">
        <is>
          <t>[S2-05] Fix unfiltered enrich_decisions fetch
(Tenancy/Data)</t>
        </is>
      </c>
      <c r="E9" s="55" t="inlineStr">
        <is>
          <t>[S4-05] Extract + chunk + embed documents at ingest
(AI/Brain)</t>
        </is>
      </c>
      <c r="F9" s="54" t="inlineStr">
        <is>
          <t>[S5-05] Data migration plan for schema changes above
(DevOps/Migration)</t>
        </is>
      </c>
    </row>
    <row r="10" ht="46" customHeight="1">
      <c r="A10" s="54" t="inlineStr">
        <is>
          <t>[S0-06] Rate-limit + captcha unauth AI endpoints
(Security/Auth)</t>
        </is>
      </c>
      <c r="B10" s="54" t="inlineStr">
        <is>
          <t>[S1-06] Fix hardcoded purchase_payment key
(Scale/Ops)</t>
        </is>
      </c>
      <c r="C10" s="55" t="inlineStr">
        <is>
          <t>[S2-06] Add session invalidation on logout/password-change
(Tenancy/Data)</t>
        </is>
      </c>
      <c r="E10" s="55" t="inlineStr">
        <is>
          <t>[S4-06] Adopt vector search + hybrid retrieval
(AI/Brain)</t>
        </is>
      </c>
      <c r="F10" s="55" t="inlineStr">
        <is>
          <t>[S5-06] Stand up CI/CD
(DevOps/Migration)</t>
        </is>
      </c>
    </row>
    <row r="11" ht="46" customHeight="1">
      <c r="A11" s="55" t="inlineStr">
        <is>
          <t>[S0-07] Add login rate limiting
(Security/Auth)</t>
        </is>
      </c>
      <c r="C11" s="55" t="inlineStr">
        <is>
          <t>[S2-07] Add email verification + password reset
(Tenancy/Data)</t>
        </is>
      </c>
      <c r="E11" s="56" t="inlineStr">
        <is>
          <t>[S4-07] Formalize a tool registry
(AI/Brain)</t>
        </is>
      </c>
      <c r="F11" s="55" t="inlineStr">
        <is>
          <t>[S5-07] Define a rollback procedure
(DevOps/Migration)</t>
        </is>
      </c>
    </row>
    <row r="12" ht="46" customHeight="1">
      <c r="A12" s="55" t="inlineStr">
        <is>
          <t>[S0-08] Stop returning raw JWT in response body
(Security/Auth)</t>
        </is>
      </c>
      <c r="C12" s="55" t="inlineStr">
        <is>
          <t>[S2-08] Fix dead contacts.kind index
(Tenancy/Data)</t>
        </is>
      </c>
      <c r="E12" s="56" t="inlineStr">
        <is>
          <t>[S4-08] Add bounded planner-executor loop + native function-calling
(AI/Brain)</t>
        </is>
      </c>
      <c r="F12" s="54" t="inlineStr">
        <is>
          <t>[S5-08] Move secrets to a real secrets manager
(DevOps/Migration)</t>
        </is>
      </c>
    </row>
    <row r="13" ht="46" customHeight="1">
      <c r="A13" s="55" t="inlineStr">
        <is>
          <t>[S0-09] Split JWT secret: tenant vs platform admin
(Security/Auth)</t>
        </is>
      </c>
      <c r="C13" s="56" t="inlineStr">
        <is>
          <t>[S2-09] Fix denormalized-name staleness
(Tenancy/Data)</t>
        </is>
      </c>
      <c r="E13" s="56" t="inlineStr">
        <is>
          <t>[S4-09] Add per-conversation agent memory
(AI/Brain)</t>
        </is>
      </c>
      <c r="F13" s="54" t="inlineStr">
        <is>
          <t>[S5-09] Staged rollout plan (5 -&gt; 20 -&gt; 50 -&gt; 100)
(DevOps/Migration)</t>
        </is>
      </c>
    </row>
    <row r="14" ht="46" customHeight="1">
      <c r="A14" s="55" t="inlineStr">
        <is>
          <t>[S0-10] Invalidate invite tokens after use
(Security/Auth)</t>
        </is>
      </c>
      <c r="C14" s="56" t="inlineStr">
        <is>
          <t>[S2-10] Handle concurrent-registration race
(Tenancy/Data)</t>
        </is>
      </c>
      <c r="E14" s="56" t="inlineStr">
        <is>
          <t>[S4-10] Expand Brain write coverage to finance/workflow/meetings
(AI/Brain)</t>
        </is>
      </c>
      <c r="F14" s="54" t="inlineStr">
        <is>
          <t>[S5-10] Final go/no-go review
(DevOps/Migration)</t>
        </is>
      </c>
    </row>
    <row r="15" ht="46" customHeight="1">
      <c r="C15" s="55" t="inlineStr">
        <is>
          <t>[S2-11] Flag AI-operating-model generation failures
(Tenancy/Data)</t>
        </is>
      </c>
      <c r="E15" s="56" t="inlineStr">
        <is>
          <t>[S4-11] Make tag vocabulary tenant/industry-configurable
(AI/Brain)</t>
        </is>
      </c>
    </row>
    <row r="16" ht="46" customHeight="1">
      <c r="C16" s="56" t="inlineStr">
        <is>
          <t>[S2-12] Fix 'active workflows' hardcoded terminal stages
(Tenancy/Data)</t>
        </is>
      </c>
    </row>
    <row r="19">
      <c r="A19" s="57" t="inlineStr">
        <is>
          <t>Card color = Priority:</t>
        </is>
      </c>
    </row>
    <row r="20">
      <c r="A20" s="58" t="inlineStr">
        <is>
          <t>P0 — ship blocker</t>
        </is>
      </c>
    </row>
    <row r="21">
      <c r="A21" s="59" t="inlineStr">
        <is>
          <t>P1 — before real customer</t>
        </is>
      </c>
    </row>
    <row r="22">
      <c r="A22" s="60" t="inlineStr">
        <is>
          <t>P2 — hardening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5"/>
  <sheetViews>
    <sheetView showGridLines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7" customWidth="1" min="1" max="1"/>
    <col width="26" customWidth="1" min="2" max="2"/>
    <col width="42" customWidth="1" min="3" max="3"/>
    <col width="42" customWidth="1" min="4" max="4"/>
    <col width="32" customWidth="1" min="5" max="5"/>
    <col width="42" customWidth="1" min="6" max="6"/>
    <col width="14" customWidth="1" min="7" max="7"/>
    <col width="16" customWidth="1" min="8" max="8"/>
    <col width="13" customWidth="1" min="9" max="9"/>
    <col width="12" customWidth="1" min="10" max="10"/>
  </cols>
  <sheetData>
    <row r="1">
      <c r="A1" s="61" t="inlineStr">
        <is>
          <t>Testing Plan — from automated tests through Alpha, Beta, and GA</t>
        </is>
      </c>
    </row>
    <row r="2">
      <c r="A2" s="15" t="inlineStr">
        <is>
          <t>Every test type required before going live, sequenced by phase, plus the Alpha -&gt; Closed Beta -&gt; Staged Beta -&gt; GA rollout milestones.</t>
        </is>
      </c>
    </row>
    <row r="4">
      <c r="A4" s="4" t="inlineStr">
        <is>
          <t>Rollout Milestones</t>
        </is>
      </c>
    </row>
    <row r="5" ht="24" customHeight="1">
      <c r="A5" s="20" t="inlineStr">
        <is>
          <t>Stage</t>
        </is>
      </c>
      <c r="B5" s="20" t="inlineStr">
        <is>
          <t>Tenant Count</t>
        </is>
      </c>
      <c r="C5" s="20" t="inlineStr">
        <is>
          <t>Duration</t>
        </is>
      </c>
      <c r="D5" s="20" t="inlineStr">
        <is>
          <t>Entry Criteria</t>
        </is>
      </c>
      <c r="E5" s="20" t="inlineStr">
        <is>
          <t>Exit Criteria / Pass Bar</t>
        </is>
      </c>
    </row>
    <row r="6" ht="46" customHeight="1">
      <c r="A6" s="21" t="inlineStr">
        <is>
          <t>Internal Alpha</t>
        </is>
      </c>
      <c r="B6" s="22" t="inlineStr">
        <is>
          <t>0 (internal only)</t>
        </is>
      </c>
      <c r="C6" s="22" t="inlineStr">
        <is>
          <t>1-2 weeks</t>
        </is>
      </c>
      <c r="D6" s="22" t="inlineStr">
        <is>
          <t>Sprint 0 + 1 P0 Done, automated suite green</t>
        </is>
      </c>
      <c r="E6" s="22" t="inlineStr">
        <is>
          <t>Zero open P0/P1 after full manual walkthrough of every module + baseline load test</t>
        </is>
      </c>
    </row>
    <row r="7" ht="46" customHeight="1">
      <c r="A7" s="26" t="inlineStr">
        <is>
          <t>Closed Beta</t>
        </is>
      </c>
      <c r="B7" s="22" t="inlineStr">
        <is>
          <t>3-5 design partners</t>
        </is>
      </c>
      <c r="C7" s="22" t="inlineStr">
        <is>
          <t>2-4 weeks</t>
        </is>
      </c>
      <c r="D7" s="22" t="inlineStr">
        <is>
          <t>Alpha exit met + Sprint 2 + 3 Done + backup/restore drill passed</t>
        </is>
      </c>
      <c r="E7" s="22" t="inlineStr">
        <is>
          <t>No P0 incidents, daily active usage from most partners, isolation matrix 100% pass, 1+ non-textile tenant validated</t>
        </is>
      </c>
    </row>
    <row r="8" ht="46" customHeight="1">
      <c r="A8" s="27" t="inlineStr">
        <is>
          <t>Staged Open Beta</t>
        </is>
      </c>
      <c r="B8" s="22" t="inlineStr">
        <is>
          <t>10 -&gt; 30 -&gt; 50 tenants</t>
        </is>
      </c>
      <c r="C8" s="22" t="inlineStr">
        <is>
          <t>3-6 weeks (tiered)</t>
        </is>
      </c>
      <c r="D8" s="22" t="inlineStr">
        <is>
          <t>Closed Beta exit met + Sprint 5 Done</t>
        </is>
      </c>
      <c r="E8" s="22" t="inlineStr">
        <is>
          <t>SLO held at every tier, zero scheduler/cross-tenant incidents, support load manageable</t>
        </is>
      </c>
    </row>
    <row r="9" ht="46" customHeight="1">
      <c r="A9" s="29" t="inlineStr">
        <is>
          <t>General Availability</t>
        </is>
      </c>
      <c r="B9" s="22" t="inlineStr">
        <is>
          <t>100+ / self-serve</t>
        </is>
      </c>
      <c r="C9" s="22" t="inlineStr">
        <is>
          <t>Ongoing</t>
        </is>
      </c>
      <c r="D9" s="22" t="inlineStr">
        <is>
          <t>Staged Beta exit met + Go-Live Checklist 100% + go/no-go held</t>
        </is>
      </c>
      <c r="E9" s="22" t="inlineStr">
        <is>
          <t>Sustained SLA at target traffic, zero open P0s for a full monitoring cycle</t>
        </is>
      </c>
    </row>
    <row r="11">
      <c r="A11" s="4" t="inlineStr">
        <is>
          <t>Detailed Test Plan — by phase</t>
        </is>
      </c>
    </row>
    <row r="12" ht="26" customHeight="1">
      <c r="A12" s="62" t="inlineStr">
        <is>
          <t>Phase</t>
        </is>
      </c>
      <c r="B12" s="62" t="inlineStr">
        <is>
          <t>Test Type</t>
        </is>
      </c>
      <c r="C12" s="62" t="inlineStr">
        <is>
          <t>What It Verifies</t>
        </is>
      </c>
      <c r="D12" s="62" t="inlineStr">
        <is>
          <t>Scope / Method</t>
        </is>
      </c>
      <c r="E12" s="62" t="inlineStr">
        <is>
          <t>Entry Criteria</t>
        </is>
      </c>
      <c r="F12" s="62" t="inlineStr">
        <is>
          <t>Exit Criteria / Pass Bar</t>
        </is>
      </c>
      <c r="G12" s="62" t="inlineStr">
        <is>
          <t>Environment</t>
        </is>
      </c>
      <c r="H12" s="62" t="inlineStr">
        <is>
          <t>Linked Sprint</t>
        </is>
      </c>
      <c r="I12" s="63" t="inlineStr">
        <is>
          <t>Status</t>
        </is>
      </c>
      <c r="J12" s="63" t="inlineStr">
        <is>
          <t>Owner</t>
        </is>
      </c>
    </row>
    <row r="13" ht="58" customHeight="1">
      <c r="A13" s="64" t="inlineStr">
        <is>
          <t>A</t>
        </is>
      </c>
      <c r="B13" s="34" t="inlineStr">
        <is>
          <t>Unit Testing</t>
        </is>
      </c>
      <c r="C13" s="22" t="inlineStr">
        <is>
          <t>Individual functions/handlers behave correctly in isolation (auth, RBAC, compute handlers, operating-model resolver, etc.)</t>
        </is>
      </c>
      <c r="D13" s="22" t="inlineStr">
        <is>
          <t>pytest, run on every PR (backend/pytest.ini, backend/tests/)</t>
        </is>
      </c>
      <c r="E13" s="22" t="inlineStr">
        <is>
          <t>Code written</t>
        </is>
      </c>
      <c r="F13" s="22" t="inlineStr">
        <is>
          <t>100% of new/changed code has a passing unit test; suite green in CI</t>
        </is>
      </c>
      <c r="G13" s="34" t="inlineStr">
        <is>
          <t>Dev / CI</t>
        </is>
      </c>
      <c r="H13" s="34" t="inlineStr">
        <is>
          <t>Sprint 0-5 (continuous)</t>
        </is>
      </c>
      <c r="I13" s="37" t="inlineStr">
        <is>
          <t>Not Started</t>
        </is>
      </c>
      <c r="J13" s="34" t="inlineStr"/>
    </row>
    <row r="14" ht="58" customHeight="1">
      <c r="A14" s="64" t="inlineStr">
        <is>
          <t>A</t>
        </is>
      </c>
      <c r="B14" s="34" t="inlineStr">
        <is>
          <t>Integration Testing</t>
        </is>
      </c>
      <c r="C14" s="22" t="inlineStr">
        <is>
          <t>Full request/response flow across routers + DB for each domain (auth, tasks, decisions, workflows, brain, ledger)</t>
        </is>
      </c>
      <c r="D14" s="22" t="inlineStr">
        <is>
          <t>pytest against a real test Mongo instance, one suite per router domain</t>
        </is>
      </c>
      <c r="E14" s="22" t="inlineStr">
        <is>
          <t>Unit suite green</t>
        </is>
      </c>
      <c r="F14" s="22" t="inlineStr">
        <is>
          <t>Every endpoint touched by Sprints 0-3 has at least one integration test; suite green</t>
        </is>
      </c>
      <c r="G14" s="34" t="inlineStr">
        <is>
          <t>Dev / CI</t>
        </is>
      </c>
      <c r="H14" s="34" t="inlineStr">
        <is>
          <t>Sprint 0-3</t>
        </is>
      </c>
      <c r="I14" s="37" t="inlineStr">
        <is>
          <t>Not Started</t>
        </is>
      </c>
      <c r="J14" s="34" t="inlineStr"/>
    </row>
    <row r="15" ht="58" customHeight="1">
      <c r="A15" s="64" t="inlineStr">
        <is>
          <t>A</t>
        </is>
      </c>
      <c r="B15" s="34" t="inlineStr">
        <is>
          <t>Regression Testing</t>
        </is>
      </c>
      <c r="C15" s="22" t="inlineStr">
        <is>
          <t>Nothing that used to work broke as a result of this round of fixes</t>
        </is>
      </c>
      <c r="D15" s="22" t="inlineStr">
        <is>
          <t>Full automated suite re-run after each sprint merges to the branch</t>
        </is>
      </c>
      <c r="E15" s="22" t="inlineStr">
        <is>
          <t>Each sprint's tasks marked Done</t>
        </is>
      </c>
      <c r="F15" s="22" t="inlineStr">
        <is>
          <t>Zero net-new failures vs. the pre-sprint baseline run</t>
        </is>
      </c>
      <c r="G15" s="34" t="inlineStr">
        <is>
          <t>CI</t>
        </is>
      </c>
      <c r="H15" s="34" t="inlineStr">
        <is>
          <t>Every sprint</t>
        </is>
      </c>
      <c r="I15" s="37" t="inlineStr">
        <is>
          <t>Not Started</t>
        </is>
      </c>
      <c r="J15" s="34" t="inlineStr"/>
    </row>
    <row r="16" ht="58" customHeight="1">
      <c r="A16" s="65" t="inlineStr">
        <is>
          <t>B</t>
        </is>
      </c>
      <c r="B16" s="34" t="inlineStr">
        <is>
          <t>Multi-Tenant Isolation Test Matrix</t>
        </is>
      </c>
      <c r="C16" s="22" t="inlineStr">
        <is>
          <t>No cross-tenant read/write is possible on ANY collection, endpoint, or background job</t>
        </is>
      </c>
      <c r="D16" s="22" t="inlineStr">
        <is>
          <t>Scripted test: create 2+ tenants with overlapping data (incl. same phone number per S2-03), attempt cross-tenant read/write/delete on every collection + every _ensure_owned call site from S2-01</t>
        </is>
      </c>
      <c r="E16" s="22" t="inlineStr">
        <is>
          <t>Sprint 2 tasks Done</t>
        </is>
      </c>
      <c r="F16" s="22" t="inlineStr">
        <is>
          <t>100% pass — zero cross-tenant access possible, incl. OTP/WhatsApp phone routing and tenant deletion completeness</t>
        </is>
      </c>
      <c r="G16" s="34" t="inlineStr">
        <is>
          <t>Staging</t>
        </is>
      </c>
      <c r="H16" s="34" t="inlineStr">
        <is>
          <t>Sprint 2</t>
        </is>
      </c>
      <c r="I16" s="37" t="inlineStr">
        <is>
          <t>Not Started</t>
        </is>
      </c>
      <c r="J16" s="34" t="inlineStr"/>
    </row>
    <row r="17" ht="58" customHeight="1">
      <c r="A17" s="65" t="inlineStr">
        <is>
          <t>B</t>
        </is>
      </c>
      <c r="B17" s="34" t="inlineStr">
        <is>
          <t>Dynamic-Workflow Multi-Tenant Test</t>
        </is>
      </c>
      <c r="C17" s="22" t="inlineStr">
        <is>
          <t>A NON-textile tenant (e.g. restaurant/clinic) gets a correctly working approval + payment-tracking loop, not just the textile demo</t>
        </is>
      </c>
      <c r="D17" s="22" t="inlineStr">
        <is>
          <t>Onboard a synthetic non-textile tenant, run its AI-designed pipeline end to end incl. owner approval + dashboard KPIs</t>
        </is>
      </c>
      <c r="E17" s="22" t="inlineStr">
        <is>
          <t>S1-06 Done</t>
        </is>
      </c>
      <c r="F17" s="22" t="inlineStr">
        <is>
          <t>Approval gate, pending-purchases dashboard, and payment-overdue alerts all fire correctly for the non-textile pipeline</t>
        </is>
      </c>
      <c r="G17" s="34" t="inlineStr">
        <is>
          <t>Staging</t>
        </is>
      </c>
      <c r="H17" s="34" t="inlineStr">
        <is>
          <t>Sprint 1</t>
        </is>
      </c>
      <c r="I17" s="37" t="inlineStr">
        <is>
          <t>Not Started</t>
        </is>
      </c>
      <c r="J17" s="34" t="inlineStr"/>
    </row>
    <row r="18" ht="58" customHeight="1">
      <c r="A18" s="66" t="inlineStr">
        <is>
          <t>C</t>
        </is>
      </c>
      <c r="B18" s="34" t="inlineStr">
        <is>
          <t>Security / Penetration Testing</t>
        </is>
      </c>
      <c r="C18" s="22" t="inlineStr">
        <is>
          <t>Every Sprint 0 vulnerability is actually closed, not just patched in one spot</t>
        </is>
      </c>
      <c r="D18" s="22" t="inlineStr">
        <is>
          <t>Manual + tool-assisted (OWASP ZAP or similar): CORS/CSRF exploit attempt, unauth file access, JWT tampering, WhatsApp signature bypass, brute-force login, superadmin default creds</t>
        </is>
      </c>
      <c r="E18" s="22" t="inlineStr">
        <is>
          <t>Sprint 0 tasks Done</t>
        </is>
      </c>
      <c r="F18" s="22" t="inlineStr">
        <is>
          <t>Zero exploitable findings on the Sprint 0 issue list; independent reviewer (or external pentest) sign-off</t>
        </is>
      </c>
      <c r="G18" s="34" t="inlineStr">
        <is>
          <t>Staging</t>
        </is>
      </c>
      <c r="H18" s="34" t="inlineStr">
        <is>
          <t>Sprint 0</t>
        </is>
      </c>
      <c r="I18" s="37" t="inlineStr">
        <is>
          <t>Not Started</t>
        </is>
      </c>
      <c r="J18" s="34" t="inlineStr"/>
    </row>
    <row r="19" ht="58" customHeight="1">
      <c r="A19" s="66" t="inlineStr">
        <is>
          <t>C</t>
        </is>
      </c>
      <c r="B19" s="34" t="inlineStr">
        <is>
          <t>RBAC / Permission Audit</t>
        </is>
      </c>
      <c r="C19" s="22" t="inlineStr">
        <is>
          <t>Every role sees exactly what it should and nothing more (finance data, admin routes, brain visibility rules)</t>
        </is>
      </c>
      <c r="D19" s="22" t="inlineStr">
        <is>
          <t>Scripted test matrix: role x endpoint x expected access, incl. brain_rbac intents and document visibility rules</t>
        </is>
      </c>
      <c r="E19" s="22" t="inlineStr">
        <is>
          <t>Sprint 0-2 Done</t>
        </is>
      </c>
      <c r="F19" s="22" t="inlineStr">
        <is>
          <t>100% pass on the role x endpoint matrix</t>
        </is>
      </c>
      <c r="G19" s="34" t="inlineStr">
        <is>
          <t>Staging</t>
        </is>
      </c>
      <c r="H19" s="34" t="inlineStr">
        <is>
          <t>Sprint 0-2</t>
        </is>
      </c>
      <c r="I19" s="37" t="inlineStr">
        <is>
          <t>Not Started</t>
        </is>
      </c>
      <c r="J19" s="34" t="inlineStr"/>
    </row>
    <row r="20" ht="58" customHeight="1">
      <c r="A20" s="67" t="inlineStr">
        <is>
          <t>D</t>
        </is>
      </c>
      <c r="B20" s="34" t="inlineStr">
        <is>
          <t>Load / Performance Testing — Baseline</t>
        </is>
      </c>
      <c r="C20" s="22" t="inlineStr">
        <is>
          <t>Normal-traffic response times meet SLO before adding concurrency</t>
        </is>
      </c>
      <c r="D20" s="22" t="inlineStr">
        <is>
          <t>k6 or Locust against staging, single-tenant, ramping requests per endpoint</t>
        </is>
      </c>
      <c r="E20" s="22" t="inlineStr">
        <is>
          <t>Sprint 1 Done, staging live (S5-01)</t>
        </is>
      </c>
      <c r="F20" s="22" t="inlineStr">
        <is>
          <t>P95 latency within target (e.g. &lt;500ms for reads, &lt;3s for AI-backed endpoints) at expected steady load</t>
        </is>
      </c>
      <c r="G20" s="34" t="inlineStr">
        <is>
          <t>Staging</t>
        </is>
      </c>
      <c r="H20" s="34" t="inlineStr">
        <is>
          <t>Sprint 5</t>
        </is>
      </c>
      <c r="I20" s="37" t="inlineStr">
        <is>
          <t>Not Started</t>
        </is>
      </c>
      <c r="J20" s="34" t="inlineStr"/>
    </row>
    <row r="21" ht="58" customHeight="1">
      <c r="A21" s="67" t="inlineStr">
        <is>
          <t>D</t>
        </is>
      </c>
      <c r="B21" s="34" t="inlineStr">
        <is>
          <t>Load Testing — Multi-Tenant Concurrency</t>
        </is>
      </c>
      <c r="C21" s="22" t="inlineStr">
        <is>
          <t>The system holds up with ~100 tenants' worth of simultaneous traffic, not just one tenant at a time</t>
        </is>
      </c>
      <c r="D21" s="22" t="inlineStr">
        <is>
          <t>k6/Locust simulating 100 tenants concurrently hitting dashboards, /ask, and voice-capture together (S5-02)</t>
        </is>
      </c>
      <c r="E21" s="22" t="inlineStr">
        <is>
          <t>Baseline load test passed</t>
        </is>
      </c>
      <c r="F21" s="22" t="inlineStr">
        <is>
          <t>No error-rate spike, no shared-LLM-key 429 cascade (validates S1-05), DB pool holds under SUMMED load</t>
        </is>
      </c>
      <c r="G21" s="34" t="inlineStr">
        <is>
          <t>Staging</t>
        </is>
      </c>
      <c r="H21" s="34" t="inlineStr">
        <is>
          <t>Sprint 5</t>
        </is>
      </c>
      <c r="I21" s="37" t="inlineStr">
        <is>
          <t>Not Started</t>
        </is>
      </c>
      <c r="J21" s="34" t="inlineStr"/>
    </row>
    <row r="22" ht="58" customHeight="1">
      <c r="A22" s="67" t="inlineStr">
        <is>
          <t>D</t>
        </is>
      </c>
      <c r="B22" s="34" t="inlineStr">
        <is>
          <t>Spike / Burst Testing</t>
        </is>
      </c>
      <c r="C22" s="22" t="inlineStr">
        <is>
          <t>A sudden burst (e.g. many tenants' morning login + voice-capture rush) doesn't cascade into an outage</t>
        </is>
      </c>
      <c r="D22" s="22" t="inlineStr">
        <is>
          <t>Short high-intensity burst against the follow-up-scheduler window and login/OTP path</t>
        </is>
      </c>
      <c r="E22" s="22" t="inlineStr">
        <is>
          <t>Multi-tenant load test passed</t>
        </is>
      </c>
      <c r="F22" s="22" t="inlineStr">
        <is>
          <t>System recovers within target time with no dropped requests beyond configured rate limits</t>
        </is>
      </c>
      <c r="G22" s="34" t="inlineStr">
        <is>
          <t>Staging</t>
        </is>
      </c>
      <c r="H22" s="34" t="inlineStr">
        <is>
          <t>Sprint 5</t>
        </is>
      </c>
      <c r="I22" s="37" t="inlineStr">
        <is>
          <t>Not Started</t>
        </is>
      </c>
      <c r="J22" s="34" t="inlineStr"/>
    </row>
    <row r="23" ht="58" customHeight="1">
      <c r="A23" s="67" t="inlineStr">
        <is>
          <t>D</t>
        </is>
      </c>
      <c r="B23" s="34" t="inlineStr">
        <is>
          <t>Soak / Endurance Testing</t>
        </is>
      </c>
      <c r="C23" s="22" t="inlineStr">
        <is>
          <t>No slow memory leak, connection-pool exhaustion, or gradual degradation over sustained runtime</t>
        </is>
      </c>
      <c r="D23" s="22" t="inlineStr">
        <is>
          <t>Run realistic traffic continuously for 24-48h on staging</t>
        </is>
      </c>
      <c r="E23" s="22" t="inlineStr">
        <is>
          <t>Spike test passed</t>
        </is>
      </c>
      <c r="F23" s="22" t="inlineStr">
        <is>
          <t>No degradation in latency/error-rate/memory over the full run</t>
        </is>
      </c>
      <c r="G23" s="34" t="inlineStr">
        <is>
          <t>Staging</t>
        </is>
      </c>
      <c r="H23" s="34" t="inlineStr">
        <is>
          <t>Sprint 5</t>
        </is>
      </c>
      <c r="I23" s="37" t="inlineStr">
        <is>
          <t>Not Started</t>
        </is>
      </c>
      <c r="J23" s="34" t="inlineStr"/>
    </row>
    <row r="24" ht="58" customHeight="1">
      <c r="A24" s="67" t="inlineStr">
        <is>
          <t>D</t>
        </is>
      </c>
      <c r="B24" s="34" t="inlineStr">
        <is>
          <t>Database Query Performance at Volume</t>
        </is>
      </c>
      <c r="C24" s="22" t="inlineStr">
        <is>
          <t>Indexes actually get used and stay fast as data grows, not just at demo-tenant scale</t>
        </is>
      </c>
      <c r="D24" s="22" t="inlineStr">
        <is>
          <t>Seed staging with ~50k tasks / 10k contacts / 20k invoices across many tenants; profile the hot dashboard + /ask queries</t>
        </is>
      </c>
      <c r="E24" s="22" t="inlineStr">
        <is>
          <t>Schema fixes (S2-08, SCALE items) Done</t>
        </is>
      </c>
      <c r="F24" s="22" t="inlineStr">
        <is>
          <t>No full-collection scans on hot paths; dashboard/brief load within SLO at seeded volume</t>
        </is>
      </c>
      <c r="G24" s="34" t="inlineStr">
        <is>
          <t>Staging</t>
        </is>
      </c>
      <c r="H24" s="34" t="inlineStr">
        <is>
          <t>Sprint 1-2</t>
        </is>
      </c>
      <c r="I24" s="37" t="inlineStr">
        <is>
          <t>Not Started</t>
        </is>
      </c>
      <c r="J24" s="34" t="inlineStr"/>
    </row>
    <row r="25" ht="58" customHeight="1">
      <c r="A25" s="68" t="inlineStr">
        <is>
          <t>E</t>
        </is>
      </c>
      <c r="B25" s="34" t="inlineStr">
        <is>
          <t>Multi-Replica / Concurrency Testing</t>
        </is>
      </c>
      <c r="C25" s="22" t="inlineStr">
        <is>
          <t>Running 3+ app replicas doesn't duplicate scheduled work or race on startup</t>
        </is>
      </c>
      <c r="D25" s="22" t="inlineStr">
        <is>
          <t>Deploy 3 replicas on staging; verify the follow-up scheduler fires exactly once per interval, not 3x (validates S1-01); verify index/migration bootstrap doesn't race</t>
        </is>
      </c>
      <c r="E25" s="22" t="inlineStr">
        <is>
          <t>Sprint 1 Done, real deploy config (S1-04) exists</t>
        </is>
      </c>
      <c r="F25" s="22" t="inlineStr">
        <is>
          <t>Zero duplicate escalation emails/alerts observed across a full scheduler interval with 3 replicas running</t>
        </is>
      </c>
      <c r="G25" s="34" t="inlineStr">
        <is>
          <t>Staging</t>
        </is>
      </c>
      <c r="H25" s="34" t="inlineStr">
        <is>
          <t>Sprint 1</t>
        </is>
      </c>
      <c r="I25" s="37" t="inlineStr">
        <is>
          <t>Not Started</t>
        </is>
      </c>
      <c r="J25" s="34" t="inlineStr"/>
    </row>
    <row r="26" ht="58" customHeight="1">
      <c r="A26" s="68" t="inlineStr">
        <is>
          <t>E</t>
        </is>
      </c>
      <c r="B26" s="34" t="inlineStr">
        <is>
          <t>Failure-Injection / Chaos Testing</t>
        </is>
      </c>
      <c r="C26" s="22" t="inlineStr">
        <is>
          <t>The system degrades gracefully, not catastrophically, when a dependency fails</t>
        </is>
      </c>
      <c r="D26" s="22" t="inlineStr">
        <is>
          <t>Kill a replica mid-request, simulate the LLM provider timing out/erroring, simulate a DB connection drop</t>
        </is>
      </c>
      <c r="E26" s="22" t="inlineStr">
        <is>
          <t>Multi-replica test passed</t>
        </is>
      </c>
      <c r="F26" s="22" t="inlineStr">
        <is>
          <t>In-flight requests fail cleanly with a user-visible error, no data corruption, service recovers automatically</t>
        </is>
      </c>
      <c r="G26" s="34" t="inlineStr">
        <is>
          <t>Staging</t>
        </is>
      </c>
      <c r="H26" s="34" t="inlineStr">
        <is>
          <t>Sprint 5</t>
        </is>
      </c>
      <c r="I26" s="37" t="inlineStr">
        <is>
          <t>Not Started</t>
        </is>
      </c>
      <c r="J26" s="34" t="inlineStr"/>
    </row>
    <row r="27" ht="58" customHeight="1">
      <c r="A27" s="69" t="inlineStr">
        <is>
          <t>F</t>
        </is>
      </c>
      <c r="B27" s="34" t="inlineStr">
        <is>
          <t>Data Migration Dry-Run</t>
        </is>
      </c>
      <c r="C27" s="22" t="inlineStr">
        <is>
          <t>Every schema change introduced by Sprints 0-3 applies cleanly to real-shaped data with no loss</t>
        </is>
      </c>
      <c r="D27" s="22" t="inlineStr">
        <is>
          <t>Run the migration plan (S5-05) against a full staging copy of realistic seeded data; diff before/after</t>
        </is>
      </c>
      <c r="E27" s="22" t="inlineStr">
        <is>
          <t>All schema-changing tasks (S1-02, S2-01/02/08, S3-02) Done</t>
        </is>
      </c>
      <c r="F27" s="22" t="inlineStr">
        <is>
          <t>Migration completes with zero data loss and a documented rollback path; re-run is idempotent</t>
        </is>
      </c>
      <c r="G27" s="34" t="inlineStr">
        <is>
          <t>Staging</t>
        </is>
      </c>
      <c r="H27" s="34" t="inlineStr">
        <is>
          <t>Sprint 5</t>
        </is>
      </c>
      <c r="I27" s="37" t="inlineStr">
        <is>
          <t>Not Started</t>
        </is>
      </c>
      <c r="J27" s="34" t="inlineStr"/>
    </row>
    <row r="28" ht="58" customHeight="1">
      <c r="A28" s="69" t="inlineStr">
        <is>
          <t>F</t>
        </is>
      </c>
      <c r="B28" s="34" t="inlineStr">
        <is>
          <t>Backup &amp; Disaster-Recovery Drill</t>
        </is>
      </c>
      <c r="C28" s="22" t="inlineStr">
        <is>
          <t>A real restore works within the defined RPO/RTO, not just a backup file existing</t>
        </is>
      </c>
      <c r="D28" s="22" t="inlineStr">
        <is>
          <t>Actually delete/corrupt a staging DB copy and restore from the S5-04 backup process, timed</t>
        </is>
      </c>
      <c r="E28" s="22" t="inlineStr">
        <is>
          <t>S5-04 backup runbook written</t>
        </is>
      </c>
      <c r="F28" s="22" t="inlineStr">
        <is>
          <t>Restore completes within the target RTO with data loss within the target RPO</t>
        </is>
      </c>
      <c r="G28" s="34" t="inlineStr">
        <is>
          <t>Staging</t>
        </is>
      </c>
      <c r="H28" s="34" t="inlineStr">
        <is>
          <t>Sprint 5</t>
        </is>
      </c>
      <c r="I28" s="37" t="inlineStr">
        <is>
          <t>Not Started</t>
        </is>
      </c>
      <c r="J28" s="34" t="inlineStr"/>
    </row>
    <row r="29" ht="58" customHeight="1">
      <c r="A29" s="69" t="inlineStr">
        <is>
          <t>F</t>
        </is>
      </c>
      <c r="B29" s="34" t="inlineStr">
        <is>
          <t>Tenant-Deletion Completeness Test</t>
        </is>
      </c>
      <c r="C29" s="22" t="inlineStr">
        <is>
          <t>Deleting a tenant removes 100% of their data (DB + files), nothing orphaned</t>
        </is>
      </c>
      <c r="D29" s="22" t="inlineStr">
        <is>
          <t>Create a tenant with data in every collection incl. brain_context/brain_documents/files, delete it, verify zero remaining rows/files</t>
        </is>
      </c>
      <c r="E29" s="22" t="inlineStr">
        <is>
          <t>S2-02 Done</t>
        </is>
      </c>
      <c r="F29" s="22" t="inlineStr">
        <is>
          <t>Zero rows or files remain referencing the deleted tenant_id anywhere</t>
        </is>
      </c>
      <c r="G29" s="34" t="inlineStr">
        <is>
          <t>Staging</t>
        </is>
      </c>
      <c r="H29" s="34" t="inlineStr">
        <is>
          <t>Sprint 2</t>
        </is>
      </c>
      <c r="I29" s="37" t="inlineStr">
        <is>
          <t>Not Started</t>
        </is>
      </c>
      <c r="J29" s="34" t="inlineStr"/>
    </row>
    <row r="30" ht="58" customHeight="1">
      <c r="A30" s="70" t="inlineStr">
        <is>
          <t>G</t>
        </is>
      </c>
      <c r="B30" s="34" t="inlineStr">
        <is>
          <t>Internal Alpha Testing</t>
        </is>
      </c>
      <c r="C30" s="22" t="inlineStr">
        <is>
          <t>The team itself can run real day-to-day operations on the product without a P0/P1 bug surfacing</t>
        </is>
      </c>
      <c r="D30" s="22" t="inlineStr">
        <is>
          <t>Internal team + demo data, every module used daily for the alpha window</t>
        </is>
      </c>
      <c r="E30" s="22" t="inlineStr">
        <is>
          <t>Sprint 0 + Sprint 1 P0 all Done; automated suite green</t>
        </is>
      </c>
      <c r="F30" s="22" t="inlineStr">
        <is>
          <t>Zero open P0/P1 bugs after the alpha window; baseline load test passed</t>
        </is>
      </c>
      <c r="G30" s="34" t="inlineStr">
        <is>
          <t>Staging (alpha)</t>
        </is>
      </c>
      <c r="H30" s="34" t="inlineStr">
        <is>
          <t>After Sprint 1</t>
        </is>
      </c>
      <c r="I30" s="37" t="inlineStr">
        <is>
          <t>Not Started</t>
        </is>
      </c>
      <c r="J30" s="34" t="inlineStr"/>
    </row>
    <row r="31" ht="58" customHeight="1">
      <c r="A31" s="71" t="inlineStr">
        <is>
          <t>H</t>
        </is>
      </c>
      <c r="B31" s="34" t="inlineStr">
        <is>
          <t>Closed Beta — Design Partners</t>
        </is>
      </c>
      <c r="C31" s="22" t="inlineStr">
        <is>
          <t>A small set of REAL external tenants (ideally incl. a non-textile business) run real operations and the product holds up without hand-holding beyond normal support</t>
        </is>
      </c>
      <c r="D31" s="22" t="inlineStr">
        <is>
          <t>3-5 hand-picked design-partner tenants, high-touch support, 2-4 weeks, daily monitoring</t>
        </is>
      </c>
      <c r="E31" s="22" t="inlineStr">
        <is>
          <t>Alpha exit criteria met; Sprint 2 + Sprint 3 Done; backup/restore drill passed</t>
        </is>
      </c>
      <c r="F31" s="22" t="inlineStr">
        <is>
          <t>No P0 incidents; majority of design partners show daily active usage; tenant isolation matrix 100% pass with real data; at least 1 non-textile tenant validates the workflow fix</t>
        </is>
      </c>
      <c r="G31" s="34" t="inlineStr">
        <is>
          <t>Production (limited)</t>
        </is>
      </c>
      <c r="H31" s="34" t="inlineStr">
        <is>
          <t>After Sprint 3</t>
        </is>
      </c>
      <c r="I31" s="37" t="inlineStr">
        <is>
          <t>Not Started</t>
        </is>
      </c>
      <c r="J31" s="34" t="inlineStr"/>
    </row>
    <row r="32" ht="58" customHeight="1">
      <c r="A32" s="72" t="inlineStr">
        <is>
          <t>I</t>
        </is>
      </c>
      <c r="B32" s="34" t="inlineStr">
        <is>
          <t>Staged Open Beta</t>
        </is>
      </c>
      <c r="C32" s="22" t="inlineStr">
        <is>
          <t>Controlled expansion in tiers with a monitoring checkpoint before each step, so a problem is caught at 10 tenants, not 100</t>
        </is>
      </c>
      <c r="D32" s="22" t="inlineStr">
        <is>
          <t>Expand 10 -&gt; 30 -&gt; 50 tenants; hold at each tier for a monitoring window before advancing (ties to S5-09)</t>
        </is>
      </c>
      <c r="E32" s="22" t="inlineStr">
        <is>
          <t>Closed Beta exit criteria met; Sprint 5 Done (load test, observability, migration dry-run)</t>
        </is>
      </c>
      <c r="F32" s="22" t="inlineStr">
        <is>
          <t>Error rate + latency within SLO at every tier; no scheduler double-fire or cross-tenant incident observed; support volume stays manageable</t>
        </is>
      </c>
      <c r="G32" s="34" t="inlineStr">
        <is>
          <t>Production</t>
        </is>
      </c>
      <c r="H32" s="34" t="inlineStr">
        <is>
          <t>Sprint 5</t>
        </is>
      </c>
      <c r="I32" s="37" t="inlineStr">
        <is>
          <t>Not Started</t>
        </is>
      </c>
      <c r="J32" s="34" t="inlineStr"/>
    </row>
    <row r="33" ht="58" customHeight="1">
      <c r="A33" s="73" t="inlineStr">
        <is>
          <t>J</t>
        </is>
      </c>
      <c r="B33" s="34" t="inlineStr">
        <is>
          <t>General Availability / Self-Serve Launch</t>
        </is>
      </c>
      <c r="C33" s="22" t="inlineStr">
        <is>
          <t>The product is ready for unassisted signup at the full target scale</t>
        </is>
      </c>
      <c r="D33" s="22" t="inlineStr">
        <is>
          <t>Open self-serve signup; remove any beta gating</t>
        </is>
      </c>
      <c r="E33" s="22" t="inlineStr">
        <is>
          <t>Staged Beta exit criteria met; Go-Live Checklist 100% TRUE; final go/no-go held (S5-10)</t>
        </is>
      </c>
      <c r="F33" s="22" t="inlineStr">
        <is>
          <t>Sustained SLA at ~100-tenant traffic with no open P0s for a full monitoring cycle</t>
        </is>
      </c>
      <c r="G33" s="34" t="inlineStr">
        <is>
          <t>Production</t>
        </is>
      </c>
      <c r="H33" s="34" t="inlineStr">
        <is>
          <t>After Sprint 5</t>
        </is>
      </c>
      <c r="I33" s="37" t="inlineStr">
        <is>
          <t>Not Started</t>
        </is>
      </c>
      <c r="J33" s="34" t="inlineStr"/>
    </row>
    <row r="35">
      <c r="A35" s="57" t="inlineStr">
        <is>
          <t>Phase key:</t>
        </is>
      </c>
    </row>
    <row r="36">
      <c r="A36" s="74" t="inlineStr">
        <is>
          <t>A</t>
        </is>
      </c>
      <c r="B36" s="75" t="inlineStr">
        <is>
          <t>Automated (Unit/Integration/Regression)</t>
        </is>
      </c>
    </row>
    <row r="37">
      <c r="A37" s="76" t="inlineStr">
        <is>
          <t>B</t>
        </is>
      </c>
      <c r="B37" s="75" t="inlineStr">
        <is>
          <t>Multi-Tenant Isolation</t>
        </is>
      </c>
    </row>
    <row r="38">
      <c r="A38" s="77" t="inlineStr">
        <is>
          <t>C</t>
        </is>
      </c>
      <c r="B38" s="75" t="inlineStr">
        <is>
          <t>Security / Pentest</t>
        </is>
      </c>
    </row>
    <row r="39">
      <c r="A39" s="78" t="inlineStr">
        <is>
          <t>D</t>
        </is>
      </c>
      <c r="B39" s="75" t="inlineStr">
        <is>
          <t>Load &amp; Performance</t>
        </is>
      </c>
    </row>
    <row r="40">
      <c r="A40" s="79" t="inlineStr">
        <is>
          <t>E</t>
        </is>
      </c>
      <c r="B40" s="75" t="inlineStr">
        <is>
          <t>Resilience / Concurrency / Chaos</t>
        </is>
      </c>
    </row>
    <row r="41">
      <c r="A41" s="80" t="inlineStr">
        <is>
          <t>F</t>
        </is>
      </c>
      <c r="B41" s="75" t="inlineStr">
        <is>
          <t>Migration &amp; Backup/DR</t>
        </is>
      </c>
    </row>
    <row r="42">
      <c r="A42" s="81" t="inlineStr">
        <is>
          <t>G</t>
        </is>
      </c>
      <c r="B42" s="75" t="inlineStr">
        <is>
          <t>Internal Alpha</t>
        </is>
      </c>
    </row>
    <row r="43">
      <c r="A43" s="82" t="inlineStr">
        <is>
          <t>H</t>
        </is>
      </c>
      <c r="B43" s="75" t="inlineStr">
        <is>
          <t>Closed Beta</t>
        </is>
      </c>
    </row>
    <row r="44">
      <c r="A44" s="83" t="inlineStr">
        <is>
          <t>I</t>
        </is>
      </c>
      <c r="B44" s="75" t="inlineStr">
        <is>
          <t>Staged Open Beta</t>
        </is>
      </c>
    </row>
    <row r="45">
      <c r="A45" s="84" t="inlineStr">
        <is>
          <t>J</t>
        </is>
      </c>
      <c r="B45" s="75" t="inlineStr">
        <is>
          <t>General Availability</t>
        </is>
      </c>
    </row>
  </sheetData>
  <mergeCells count="12">
    <mergeCell ref="A2:F2"/>
    <mergeCell ref="B42:D42"/>
    <mergeCell ref="B36:D36"/>
    <mergeCell ref="B37:D37"/>
    <mergeCell ref="B45:D45"/>
    <mergeCell ref="B41:D41"/>
    <mergeCell ref="A1:F1"/>
    <mergeCell ref="B40:D40"/>
    <mergeCell ref="B44:D44"/>
    <mergeCell ref="B43:D43"/>
    <mergeCell ref="B39:D39"/>
    <mergeCell ref="B38:D38"/>
  </mergeCells>
  <conditionalFormatting sqref="I13:I33">
    <cfRule type="cellIs" priority="1" operator="equal" dxfId="2">
      <formula>"Not Started"</formula>
    </cfRule>
    <cfRule type="cellIs" priority="2" operator="equal" dxfId="4">
      <formula>"In Progress"</formula>
    </cfRule>
    <cfRule type="cellIs" priority="3" operator="equal" dxfId="7">
      <formula>"Passed"</formula>
    </cfRule>
    <cfRule type="cellIs" priority="4" operator="equal" dxfId="5">
      <formula>"Failed"</formula>
    </cfRule>
    <cfRule type="cellIs" priority="5" operator="equal" dxfId="5">
      <formula>"Blocked"</formula>
    </cfRule>
  </conditionalFormatting>
  <dataValidations count="1">
    <dataValidation sqref="I13:I33" showDropDown="0" showInputMessage="0" showErrorMessage="0" allowBlank="0" type="list">
      <formula1>"Not Started,In Progress,Passed,Failed,Blocked"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55" customWidth="1" min="2" max="2"/>
    <col width="14" customWidth="1" min="3" max="3"/>
    <col width="12" customWidth="1" min="4" max="4"/>
  </cols>
  <sheetData>
    <row r="1">
      <c r="A1" s="61" t="inlineStr">
        <is>
          <t>Final Go-Live Checklist — before selling as SaaS at scale</t>
        </is>
      </c>
    </row>
    <row r="2">
      <c r="A2" s="15" t="inlineStr">
        <is>
          <t>Set Done? to TRUE only when verified, not just coded. Row 24 gives the overall verdict.</t>
        </is>
      </c>
    </row>
    <row r="4">
      <c r="A4" s="85" t="inlineStr">
        <is>
          <t>Area</t>
        </is>
      </c>
      <c r="B4" s="85" t="inlineStr">
        <is>
          <t>Checklist item</t>
        </is>
      </c>
      <c r="C4" s="85" t="inlineStr">
        <is>
          <t>Verified in</t>
        </is>
      </c>
      <c r="D4" s="85" t="inlineStr">
        <is>
          <t>Done?</t>
        </is>
      </c>
    </row>
    <row r="5" ht="28" customHeight="1">
      <c r="A5" s="86" t="inlineStr">
        <is>
          <t>Security</t>
        </is>
      </c>
      <c r="B5" s="22" t="inlineStr">
        <is>
          <t>All Sprint 0 P0 items closed and verified (not just coded)</t>
        </is>
      </c>
      <c r="C5" s="87" t="inlineStr">
        <is>
          <t>Sprint 0</t>
        </is>
      </c>
      <c r="D5" s="88" t="inlineStr">
        <is>
          <t>FALSE</t>
        </is>
      </c>
    </row>
    <row r="6" ht="28" customHeight="1">
      <c r="A6" s="86" t="inlineStr">
        <is>
          <t>Security</t>
        </is>
      </c>
      <c r="B6" s="22" t="inlineStr">
        <is>
          <t>Secrets rotated out of .env into a real secrets manager</t>
        </is>
      </c>
      <c r="C6" s="89" t="inlineStr">
        <is>
          <t>Sprint 5</t>
        </is>
      </c>
      <c r="D6" s="88" t="inlineStr">
        <is>
          <t>FALSE</t>
        </is>
      </c>
    </row>
    <row r="7" ht="28" customHeight="1">
      <c r="A7" s="86" t="inlineStr">
        <is>
          <t>Scale</t>
        </is>
      </c>
      <c r="B7" s="22" t="inlineStr">
        <is>
          <t>Follow-up scheduler runs as a single external job, not in-process</t>
        </is>
      </c>
      <c r="C7" s="90" t="inlineStr">
        <is>
          <t>Sprint 1</t>
        </is>
      </c>
      <c r="D7" s="88" t="inlineStr">
        <is>
          <t>FALSE</t>
        </is>
      </c>
    </row>
    <row r="8" ht="28" customHeight="1">
      <c r="A8" s="86" t="inlineStr">
        <is>
          <t>Scale</t>
        </is>
      </c>
      <c r="B8" s="22" t="inlineStr">
        <is>
          <t>All file uploads route through obj_store; local-disk path removed</t>
        </is>
      </c>
      <c r="C8" s="90" t="inlineStr">
        <is>
          <t>Sprint 1</t>
        </is>
      </c>
      <c r="D8" s="88" t="inlineStr">
        <is>
          <t>FALSE</t>
        </is>
      </c>
    </row>
    <row r="9" ht="28" customHeight="1">
      <c r="A9" s="86" t="inlineStr">
        <is>
          <t>Scale</t>
        </is>
      </c>
      <c r="B9" s="22" t="inlineStr">
        <is>
          <t>Real Dockerfile/Procfile committed with pinned worker count</t>
        </is>
      </c>
      <c r="C9" s="90" t="inlineStr">
        <is>
          <t>Sprint 1</t>
        </is>
      </c>
      <c r="D9" s="88" t="inlineStr">
        <is>
          <t>FALSE</t>
        </is>
      </c>
    </row>
    <row r="10" ht="28" customHeight="1">
      <c r="A10" s="86" t="inlineStr">
        <is>
          <t>Scale</t>
        </is>
      </c>
      <c r="B10" s="22" t="inlineStr">
        <is>
          <t>LLM calls have timeouts + a concurrency limit</t>
        </is>
      </c>
      <c r="C10" s="90" t="inlineStr">
        <is>
          <t>Sprint 1</t>
        </is>
      </c>
      <c r="D10" s="88" t="inlineStr">
        <is>
          <t>FALSE</t>
        </is>
      </c>
    </row>
    <row r="11" ht="28" customHeight="1">
      <c r="A11" s="86" t="inlineStr">
        <is>
          <t>Multi-tenant</t>
        </is>
      </c>
      <c r="B11" s="22" t="inlineStr">
        <is>
          <t>Dynamic workflow approval loop works for a non-textile tenant</t>
        </is>
      </c>
      <c r="C11" s="90" t="inlineStr">
        <is>
          <t>Sprint 1</t>
        </is>
      </c>
      <c r="D11" s="88" t="inlineStr">
        <is>
          <t>FALSE</t>
        </is>
      </c>
    </row>
    <row r="12" ht="28" customHeight="1">
      <c r="A12" s="86" t="inlineStr">
        <is>
          <t>Multi-tenant</t>
        </is>
      </c>
      <c r="B12" s="22" t="inlineStr">
        <is>
          <t>OTP login + WhatsApp routing are tenant-scoped</t>
        </is>
      </c>
      <c r="C12" s="91" t="inlineStr">
        <is>
          <t>Sprint 2</t>
        </is>
      </c>
      <c r="D12" s="88" t="inlineStr">
        <is>
          <t>FALSE</t>
        </is>
      </c>
    </row>
    <row r="13" ht="28" customHeight="1">
      <c r="A13" s="86" t="inlineStr">
        <is>
          <t>Multi-tenant</t>
        </is>
      </c>
      <c r="B13" s="22" t="inlineStr">
        <is>
          <t>Tenant deletion removes ALL tenant data incl. files</t>
        </is>
      </c>
      <c r="C13" s="91" t="inlineStr">
        <is>
          <t>Sprint 2</t>
        </is>
      </c>
      <c r="D13" s="88" t="inlineStr">
        <is>
          <t>FALSE</t>
        </is>
      </c>
    </row>
    <row r="14" ht="28" customHeight="1">
      <c r="A14" s="86" t="inlineStr">
        <is>
          <t>Billing</t>
        </is>
      </c>
      <c r="B14" s="22" t="inlineStr">
        <is>
          <t>Real payment provider integrated (Stripe/Razorpay)</t>
        </is>
      </c>
      <c r="C14" s="92" t="inlineStr">
        <is>
          <t>Sprint 3</t>
        </is>
      </c>
      <c r="D14" s="88" t="inlineStr">
        <is>
          <t>FALSE</t>
        </is>
      </c>
    </row>
    <row r="15" ht="28" customHeight="1">
      <c r="A15" s="86" t="inlineStr">
        <is>
          <t>Billing</t>
        </is>
      </c>
      <c r="B15" s="22" t="inlineStr">
        <is>
          <t>Per-tenant AI key isolation with usage quota enforcement</t>
        </is>
      </c>
      <c r="C15" s="92" t="inlineStr">
        <is>
          <t>Sprint 3</t>
        </is>
      </c>
      <c r="D15" s="88" t="inlineStr">
        <is>
          <t>FALSE</t>
        </is>
      </c>
    </row>
    <row r="16" ht="28" customHeight="1">
      <c r="A16" s="86" t="inlineStr">
        <is>
          <t>Billing</t>
        </is>
      </c>
      <c r="B16" s="22" t="inlineStr">
        <is>
          <t>Plan / entitlement fields exist on every tenant</t>
        </is>
      </c>
      <c r="C16" s="92" t="inlineStr">
        <is>
          <t>Sprint 3</t>
        </is>
      </c>
      <c r="D16" s="88" t="inlineStr">
        <is>
          <t>FALSE</t>
        </is>
      </c>
    </row>
    <row r="17" ht="28" customHeight="1">
      <c r="A17" s="86" t="inlineStr">
        <is>
          <t>Ops</t>
        </is>
      </c>
      <c r="B17" s="22" t="inlineStr">
        <is>
          <t>Staging environment mirrors production</t>
        </is>
      </c>
      <c r="C17" s="89" t="inlineStr">
        <is>
          <t>Sprint 5</t>
        </is>
      </c>
      <c r="D17" s="88" t="inlineStr">
        <is>
          <t>FALSE</t>
        </is>
      </c>
    </row>
    <row r="18" ht="28" customHeight="1">
      <c r="A18" s="86" t="inlineStr">
        <is>
          <t>Ops</t>
        </is>
      </c>
      <c r="B18" s="22" t="inlineStr">
        <is>
          <t>Load test completed at ~100-tenant equivalent traffic</t>
        </is>
      </c>
      <c r="C18" s="89" t="inlineStr">
        <is>
          <t>Sprint 5</t>
        </is>
      </c>
      <c r="D18" s="88" t="inlineStr">
        <is>
          <t>FALSE</t>
        </is>
      </c>
    </row>
    <row r="19" ht="28" customHeight="1">
      <c r="A19" s="86" t="inlineStr">
        <is>
          <t>Ops</t>
        </is>
      </c>
      <c r="B19" s="22" t="inlineStr">
        <is>
          <t>Sentry / error tracking is live in production</t>
        </is>
      </c>
      <c r="C19" s="89" t="inlineStr">
        <is>
          <t>Sprint 5</t>
        </is>
      </c>
      <c r="D19" s="88" t="inlineStr">
        <is>
          <t>FALSE</t>
        </is>
      </c>
    </row>
    <row r="20" ht="28" customHeight="1">
      <c r="A20" s="86" t="inlineStr">
        <is>
          <t>Ops</t>
        </is>
      </c>
      <c r="B20" s="22" t="inlineStr">
        <is>
          <t>Backup restore has been TESTED, not just documented</t>
        </is>
      </c>
      <c r="C20" s="89" t="inlineStr">
        <is>
          <t>Sprint 5</t>
        </is>
      </c>
      <c r="D20" s="88" t="inlineStr">
        <is>
          <t>FALSE</t>
        </is>
      </c>
    </row>
    <row r="21" ht="28" customHeight="1">
      <c r="A21" s="86" t="inlineStr">
        <is>
          <t>Ops</t>
        </is>
      </c>
      <c r="B21" s="22" t="inlineStr">
        <is>
          <t>Data migration for all schema changes dry-run on staging</t>
        </is>
      </c>
      <c r="C21" s="89" t="inlineStr">
        <is>
          <t>Sprint 5</t>
        </is>
      </c>
      <c r="D21" s="88" t="inlineStr">
        <is>
          <t>FALSE</t>
        </is>
      </c>
    </row>
    <row r="22" ht="28" customHeight="1">
      <c r="A22" s="86" t="inlineStr">
        <is>
          <t>Ops</t>
        </is>
      </c>
      <c r="B22" s="22" t="inlineStr">
        <is>
          <t>Rollback procedure written and rehearsed</t>
        </is>
      </c>
      <c r="C22" s="89" t="inlineStr">
        <is>
          <t>Sprint 5</t>
        </is>
      </c>
      <c r="D22" s="88" t="inlineStr">
        <is>
          <t>FALSE</t>
        </is>
      </c>
    </row>
    <row r="23" ht="28" customHeight="1">
      <c r="A23" s="86" t="inlineStr">
        <is>
          <t>Ops</t>
        </is>
      </c>
      <c r="B23" s="22" t="inlineStr">
        <is>
          <t>Staged rollout plan approved (5-&gt;20-&gt;50-&gt;100)</t>
        </is>
      </c>
      <c r="C23" s="89" t="inlineStr">
        <is>
          <t>Sprint 5</t>
        </is>
      </c>
      <c r="D23" s="88" t="inlineStr">
        <is>
          <t>FALSE</t>
        </is>
      </c>
    </row>
    <row r="24" ht="28" customHeight="1">
      <c r="A24" s="86" t="inlineStr">
        <is>
          <t>Testing</t>
        </is>
      </c>
      <c r="B24" s="22" t="inlineStr">
        <is>
          <t>Every Testing Plan phase (A-J) hit its exit criteria, incl. Closed + Staged Beta</t>
        </is>
      </c>
      <c r="C24" s="93" t="inlineStr">
        <is>
          <t>Testing Plan</t>
        </is>
      </c>
      <c r="D24" s="88" t="inlineStr">
        <is>
          <t>FALSE</t>
        </is>
      </c>
    </row>
    <row r="25" ht="28" customHeight="1">
      <c r="A25" s="86" t="inlineStr">
        <is>
          <t>Sign-off</t>
        </is>
      </c>
      <c r="B25" s="22" t="inlineStr">
        <is>
          <t>Final go/no-go review held with the full team</t>
        </is>
      </c>
      <c r="C25" s="89" t="inlineStr">
        <is>
          <t>Sprint 5</t>
        </is>
      </c>
      <c r="D25" s="88" t="inlineStr">
        <is>
          <t>FALSE</t>
        </is>
      </c>
    </row>
    <row r="27">
      <c r="A27" s="4" t="inlineStr">
        <is>
          <t>VERDICT</t>
        </is>
      </c>
      <c r="B27" s="19">
        <f>IF(COUNTIF(D5:D25,"TRUE")=COUNTA(D5:D25),"GO — cleared to sell as SaaS at scale","NOT YET — "&amp;(COUNTA(D5:D25)-COUNTIF(D5:D25,"TRUE"))&amp;" item(s) still open")</f>
        <v/>
      </c>
    </row>
  </sheetData>
  <mergeCells count="3">
    <mergeCell ref="A1:D1"/>
    <mergeCell ref="B27:D27"/>
    <mergeCell ref="A2:D2"/>
  </mergeCells>
  <conditionalFormatting sqref="D5:D25">
    <cfRule type="cellIs" priority="1" operator="equal" dxfId="0">
      <formula>"TRUE"</formula>
    </cfRule>
    <cfRule type="cellIs" priority="2" operator="equal" dxfId="1">
      <formula>"FALSE"</formula>
    </cfRule>
  </conditionalFormatting>
  <conditionalFormatting sqref="B27">
    <cfRule type="expression" priority="3" dxfId="0">
      <formula>COUNTIF($D$5:$D$25,"TRUE")=COUNTA($D$5:$D$25)</formula>
    </cfRule>
    <cfRule type="expression" priority="4" dxfId="1">
      <formula>COUNTIF($D$5:$D$25,"TRUE")&lt;COUNTA($D$5:$D$25)</formula>
    </cfRule>
  </conditionalFormatting>
  <dataValidations count="1">
    <dataValidation sqref="D5:D25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2026-08-04T14:03:48Z</dcterms:created>
  <dcterms:modified xsi:type="dcterms:W3CDTF">2026-08-08T16:56:51Z</dcterms:modified>
</cp:coreProperties>
</file>