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Task Backlog" sheetId="3" state="visible" r:id="rId3"/>
    <sheet name="Kanban Board" sheetId="4" state="visible" r:id="rId4"/>
    <sheet name="Go-Live Checklis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2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</fonts>
  <fills count="18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6" fillId="0" borderId="1" pivotButton="0" quotePrefix="0" xfId="0"/>
    <xf numFmtId="0" fontId="37" fillId="0" borderId="1" applyAlignment="1" pivotButton="0" quotePrefix="0" xfId="0">
      <alignment horizontal="center"/>
    </xf>
    <xf numFmtId="0" fontId="38" fillId="0" borderId="1" pivotButton="0" quotePrefix="0" xfId="0"/>
    <xf numFmtId="0" fontId="39" fillId="0" borderId="1" pivotButton="0" quotePrefix="0" xfId="0"/>
    <xf numFmtId="0" fontId="40" fillId="0" borderId="1" pivotButton="0" quotePrefix="0" xfId="0"/>
    <xf numFmtId="0" fontId="41" fillId="0" borderId="1" pivotButton="0" quotePrefix="0" xfId="0"/>
  </cellXfs>
  <cellStyles count="1">
    <cellStyle name="Normal" xfId="0" builtinId="0" hidden="0"/>
  </cellStyles>
  <dxfs count="8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sprint: task counts, % complete, and the overall go-live gate status. All formulas — edit Status on Task Backlog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truth. One row per task.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Go-Live Checklist — the final gate. Every row must be checked TRUE before opening self-serve signup or onboarding client #1 at scale.</t>
        </is>
      </c>
    </row>
    <row r="11">
      <c r="A11" s="4" t="inlineStr">
        <is>
          <t>Legend — Priority</t>
        </is>
      </c>
    </row>
    <row r="12">
      <c r="A12" s="7" t="inlineStr">
        <is>
          <t>P0</t>
        </is>
      </c>
      <c r="B12" s="8" t="inlineStr">
        <is>
          <t>Ship-blocker — must close before the next tenant / go-live gate it sits in</t>
        </is>
      </c>
    </row>
    <row r="13">
      <c r="A13" s="9" t="inlineStr">
        <is>
          <t>P1</t>
        </is>
      </c>
      <c r="B13" s="8" t="inlineStr">
        <is>
          <t>Fix before selling to a real customer — not an immediate blocker but close soon</t>
        </is>
      </c>
    </row>
    <row r="14">
      <c r="A14" s="10" t="inlineStr">
        <is>
          <t>P2</t>
        </is>
      </c>
      <c r="B14" s="8" t="inlineStr">
        <is>
          <t>Quality/hardening — schedule once P0/P1 are clear</t>
        </is>
      </c>
    </row>
    <row r="16">
      <c r="A16" s="4" t="inlineStr">
        <is>
          <t>Legend — Status</t>
        </is>
      </c>
    </row>
    <row r="17">
      <c r="A17" s="11" t="inlineStr">
        <is>
          <t>Backlog</t>
        </is>
      </c>
    </row>
    <row r="18">
      <c r="A18" s="12" t="inlineStr">
        <is>
          <t>To Do</t>
        </is>
      </c>
    </row>
    <row r="19">
      <c r="A19" s="13" t="inlineStr">
        <is>
          <t>In Progress</t>
        </is>
      </c>
    </row>
    <row r="20">
      <c r="A20" s="7" t="inlineStr">
        <is>
          <t>Blocked</t>
        </is>
      </c>
    </row>
    <row r="21">
      <c r="A21" s="9" t="inlineStr">
        <is>
          <t>In Review</t>
        </is>
      </c>
    </row>
    <row r="22">
      <c r="A22" s="14" t="inlineStr">
        <is>
          <t>Done</t>
        </is>
      </c>
    </row>
    <row r="24">
      <c r="A24" s="4" t="inlineStr">
        <is>
          <t>Cells to edit</t>
        </is>
      </c>
    </row>
    <row r="25" ht="45" customHeight="1">
      <c r="A25" s="6" t="inlineStr">
        <is>
          <t>On Task Backlog: Status, Owner, Start Date, Due Date, and Notes are yours to fill in / update (shown with a light yellow fill on the header). Everything else documents the finding and should not need editing.</t>
        </is>
      </c>
    </row>
  </sheetData>
  <mergeCells count="3">
    <mergeCell ref="A25:B25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Backlog'!A2:A54)</f>
        <v/>
      </c>
    </row>
    <row r="6">
      <c r="B6" s="16" t="inlineStr">
        <is>
          <t>Done</t>
        </is>
      </c>
      <c r="C6" s="17">
        <f>COUNTIF('Task Backlog'!J2:J54,"Done")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Backlog'!F2:F54,"P0",'Task Backlog'!J2:J54,"&lt;&gt;Done")</f>
        <v/>
      </c>
    </row>
    <row r="9">
      <c r="B9" s="16" t="inlineStr">
        <is>
          <t>Go-Live blockers still open</t>
        </is>
      </c>
      <c r="C9" s="17">
        <f>COUNTIFS('Task Backlog'!N2:N54,"Yes",'Task Backlog'!J2:J54,"&lt;&gt;Done")</f>
        <v/>
      </c>
    </row>
    <row r="11">
      <c r="B11" s="4" t="inlineStr">
        <is>
          <t>READY FOR 100-CLIENT SaaS?</t>
        </is>
      </c>
      <c r="C11" s="19">
        <f>IF(C9=0,"READY — all go-live blockers closed","NOT READY — "&amp;C9&amp;" blocker(s) still open")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Backlog'!B2:B54,"Sprint 0")</f>
        <v/>
      </c>
      <c r="F15" s="24">
        <f>COUNTIFS('Task Backlog'!B2:B54,"Sprint 0",'Task Backlog'!J2:J54,"Done")</f>
        <v/>
      </c>
      <c r="G15" s="25">
        <f>IFERROR(F15/E15,0)</f>
        <v/>
      </c>
      <c r="H15" s="24">
        <f>COUNTIFS('Task Backlog'!B2:B54,"Sprint 0",'Task Backlog'!F2:F54,"P0",'Task Backlog'!J2:J54,"&lt;&gt;Done")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Backlog'!B2:B54,"Sprint 1")</f>
        <v/>
      </c>
      <c r="F16" s="24">
        <f>COUNTIFS('Task Backlog'!B2:B54,"Sprint 1",'Task Backlog'!J2:J54,"Done")</f>
        <v/>
      </c>
      <c r="G16" s="25">
        <f>IFERROR(F16/E16,0)</f>
        <v/>
      </c>
      <c r="H16" s="24">
        <f>COUNTIFS('Task Backlog'!B2:B54,"Sprint 1",'Task Backlog'!F2:F54,"P0",'Task Backlog'!J2:J54,"&lt;&gt;Done")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Backlog'!B2:B54,"Sprint 2")</f>
        <v/>
      </c>
      <c r="F17" s="24">
        <f>COUNTIFS('Task Backlog'!B2:B54,"Sprint 2",'Task Backlog'!J2:J54,"Done")</f>
        <v/>
      </c>
      <c r="G17" s="25">
        <f>IFERROR(F17/E17,0)</f>
        <v/>
      </c>
      <c r="H17" s="24">
        <f>COUNTIFS('Task Backlog'!B2:B54,"Sprint 2",'Task Backlog'!F2:F54,"P0",'Task Backlog'!J2:J54,"&lt;&gt;Done")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Backlog'!B2:B54,"Sprint 3")</f>
        <v/>
      </c>
      <c r="F18" s="24">
        <f>COUNTIFS('Task Backlog'!B2:B54,"Sprint 3",'Task Backlog'!J2:J54,"Done")</f>
        <v/>
      </c>
      <c r="G18" s="25">
        <f>IFERROR(F18/E18,0)</f>
        <v/>
      </c>
      <c r="H18" s="24">
        <f>COUNTIFS('Task Backlog'!B2:B54,"Sprint 3",'Task Backlog'!F2:F54,"P0",'Task Backlog'!J2:J54,"&lt;&gt;Done")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Backlog'!B2:B54,"Sprint 4")</f>
        <v/>
      </c>
      <c r="F19" s="24">
        <f>COUNTIFS('Task Backlog'!B2:B54,"Sprint 4",'Task Backlog'!J2:J54,"Done")</f>
        <v/>
      </c>
      <c r="G19" s="25">
        <f>IFERROR(F19/E19,0)</f>
        <v/>
      </c>
      <c r="H19" s="24">
        <f>COUNTIFS('Task Backlog'!B2:B54,"Sprint 4",'Task Backlog'!F2:F54,"P0",'Task Backlog'!J2:J54,"&lt;&gt;Done")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Backlog'!B2:B54,"Sprint 5")</f>
        <v/>
      </c>
      <c r="F20" s="24">
        <f>COUNTIFS('Task Backlog'!B2:B54,"Sprint 5",'Task Backlog'!J2:J54,"Done")</f>
        <v/>
      </c>
      <c r="G20" s="25">
        <f>IFERROR(F20/E20,0)</f>
        <v/>
      </c>
      <c r="H20" s="24">
        <f>COUNTIFS('Task Backlog'!B2:B54,"Sprint 5",'Task Backlog'!F2:F54,"P0",'Task Backlog'!J2:J54,"&lt;&gt;Done")</f>
        <v/>
      </c>
    </row>
  </sheetData>
  <mergeCells count="2">
    <mergeCell ref="B3:H3"/>
    <mergeCell ref="C11:H11"/>
  </mergeCells>
  <conditionalFormatting sqref="C11">
    <cfRule type="expression" priority="1" dxfId="0">
      <formula>$C$9=0</formula>
    </cfRule>
    <cfRule type="expression" priority="2" dxfId="1">
      <formula>$C$9&gt;0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34" t="inlineStr">
        <is>
          <t>S0-01</t>
        </is>
      </c>
      <c r="B2" s="35" t="inlineStr">
        <is>
          <t>Sprint 0</t>
        </is>
      </c>
      <c r="C2" s="34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34" t="inlineStr">
        <is>
          <t>SaaS Readiness Review</t>
        </is>
      </c>
      <c r="H2" s="34" t="inlineStr">
        <is>
          <t>server.py:4925-4937</t>
        </is>
      </c>
      <c r="I2" s="34" t="inlineStr">
        <is>
          <t>S</t>
        </is>
      </c>
      <c r="J2" s="37" t="inlineStr">
        <is>
          <t>Backlog</t>
        </is>
      </c>
      <c r="K2" s="34" t="inlineStr"/>
      <c r="L2" s="34" t="inlineStr"/>
      <c r="M2" s="34" t="inlineStr"/>
      <c r="N2" s="23" t="inlineStr">
        <is>
          <t>Yes</t>
        </is>
      </c>
      <c r="O2" s="22" t="inlineStr"/>
    </row>
    <row r="3" ht="32" customHeight="1">
      <c r="A3" s="34" t="inlineStr">
        <is>
          <t>S0-02</t>
        </is>
      </c>
      <c r="B3" s="35" t="inlineStr">
        <is>
          <t>Sprint 0</t>
        </is>
      </c>
      <c r="C3" s="34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34" t="inlineStr">
        <is>
          <t>SaaS Readiness Review</t>
        </is>
      </c>
      <c r="H3" s="34" t="inlineStr">
        <is>
          <t>server.py:4994-5001, core.py:218-222</t>
        </is>
      </c>
      <c r="I3" s="34" t="inlineStr">
        <is>
          <t>M</t>
        </is>
      </c>
      <c r="J3" s="37" t="inlineStr">
        <is>
          <t>Backlog</t>
        </is>
      </c>
      <c r="K3" s="34" t="inlineStr"/>
      <c r="L3" s="34" t="inlineStr"/>
      <c r="M3" s="34" t="inlineStr"/>
      <c r="N3" s="23" t="inlineStr">
        <is>
          <t>Yes</t>
        </is>
      </c>
      <c r="O3" s="22" t="inlineStr"/>
    </row>
    <row r="4" ht="32" customHeight="1">
      <c r="A4" s="34" t="inlineStr">
        <is>
          <t>S0-03</t>
        </is>
      </c>
      <c r="B4" s="35" t="inlineStr">
        <is>
          <t>Sprint 0</t>
        </is>
      </c>
      <c r="C4" s="34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34" t="inlineStr">
        <is>
          <t>SaaS Readiness Review</t>
        </is>
      </c>
      <c r="H4" s="34" t="inlineStr">
        <is>
          <t>server.py:3032-3038</t>
        </is>
      </c>
      <c r="I4" s="34" t="inlineStr">
        <is>
          <t>S</t>
        </is>
      </c>
      <c r="J4" s="37" t="inlineStr">
        <is>
          <t>Backlog</t>
        </is>
      </c>
      <c r="K4" s="34" t="inlineStr"/>
      <c r="L4" s="34" t="inlineStr"/>
      <c r="M4" s="34" t="inlineStr"/>
      <c r="N4" s="23" t="inlineStr">
        <is>
          <t>Yes</t>
        </is>
      </c>
      <c r="O4" s="22" t="inlineStr"/>
    </row>
    <row r="5" ht="32" customHeight="1">
      <c r="A5" s="34" t="inlineStr">
        <is>
          <t>S0-04</t>
        </is>
      </c>
      <c r="B5" s="35" t="inlineStr">
        <is>
          <t>Sprint 0</t>
        </is>
      </c>
      <c r="C5" s="34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34" t="inlineStr">
        <is>
          <t>SaaS Readiness Review</t>
        </is>
      </c>
      <c r="H5" s="34" t="inlineStr">
        <is>
          <t>server.py:1345-1347</t>
        </is>
      </c>
      <c r="I5" s="34" t="inlineStr">
        <is>
          <t>S</t>
        </is>
      </c>
      <c r="J5" s="37" t="inlineStr">
        <is>
          <t>Backlog</t>
        </is>
      </c>
      <c r="K5" s="34" t="inlineStr"/>
      <c r="L5" s="34" t="inlineStr"/>
      <c r="M5" s="34" t="inlineStr"/>
      <c r="N5" s="23" t="inlineStr">
        <is>
          <t>Yes</t>
        </is>
      </c>
      <c r="O5" s="22" t="inlineStr"/>
    </row>
    <row r="6" ht="32" customHeight="1">
      <c r="A6" s="34" t="inlineStr">
        <is>
          <t>S0-05</t>
        </is>
      </c>
      <c r="B6" s="35" t="inlineStr">
        <is>
          <t>Sprint 0</t>
        </is>
      </c>
      <c r="C6" s="34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34" t="inlineStr">
        <is>
          <t>SaaS Readiness Review</t>
        </is>
      </c>
      <c r="H6" s="34" t="inlineStr">
        <is>
          <t>server.py:3919-3933</t>
        </is>
      </c>
      <c r="I6" s="34" t="inlineStr">
        <is>
          <t>S</t>
        </is>
      </c>
      <c r="J6" s="37" t="inlineStr">
        <is>
          <t>Backlog</t>
        </is>
      </c>
      <c r="K6" s="34" t="inlineStr"/>
      <c r="L6" s="34" t="inlineStr"/>
      <c r="M6" s="34" t="inlineStr"/>
      <c r="N6" s="23" t="inlineStr">
        <is>
          <t>Yes</t>
        </is>
      </c>
      <c r="O6" s="22" t="inlineStr"/>
    </row>
    <row r="7" ht="32" customHeight="1">
      <c r="A7" s="34" t="inlineStr">
        <is>
          <t>S0-06</t>
        </is>
      </c>
      <c r="B7" s="35" t="inlineStr">
        <is>
          <t>Sprint 0</t>
        </is>
      </c>
      <c r="C7" s="34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34" t="inlineStr">
        <is>
          <t>SaaS Readiness Review</t>
        </is>
      </c>
      <c r="H7" s="34" t="inlineStr">
        <is>
          <t>routers/signup.py, routers/onboarding.py:39,73</t>
        </is>
      </c>
      <c r="I7" s="34" t="inlineStr">
        <is>
          <t>M</t>
        </is>
      </c>
      <c r="J7" s="37" t="inlineStr">
        <is>
          <t>Backlog</t>
        </is>
      </c>
      <c r="K7" s="34" t="inlineStr"/>
      <c r="L7" s="34" t="inlineStr"/>
      <c r="M7" s="34" t="inlineStr"/>
      <c r="N7" s="23" t="inlineStr">
        <is>
          <t>Yes</t>
        </is>
      </c>
      <c r="O7" s="22" t="inlineStr"/>
    </row>
    <row r="8" ht="32" customHeight="1">
      <c r="A8" s="34" t="inlineStr">
        <is>
          <t>S0-07</t>
        </is>
      </c>
      <c r="B8" s="35" t="inlineStr">
        <is>
          <t>Sprint 0</t>
        </is>
      </c>
      <c r="C8" s="34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34" t="inlineStr">
        <is>
          <t>SaaS Readiness Review</t>
        </is>
      </c>
      <c r="H8" s="34" t="inlineStr">
        <is>
          <t>routers/auth.py:151-162</t>
        </is>
      </c>
      <c r="I8" s="34" t="inlineStr">
        <is>
          <t>S</t>
        </is>
      </c>
      <c r="J8" s="37" t="inlineStr">
        <is>
          <t>Backlog</t>
        </is>
      </c>
      <c r="K8" s="34" t="inlineStr"/>
      <c r="L8" s="34" t="inlineStr"/>
      <c r="M8" s="34" t="inlineStr"/>
      <c r="N8" s="23" t="inlineStr">
        <is>
          <t>Yes</t>
        </is>
      </c>
      <c r="O8" s="22" t="inlineStr"/>
    </row>
    <row r="9" ht="32" customHeight="1">
      <c r="A9" s="34" t="inlineStr">
        <is>
          <t>S0-08</t>
        </is>
      </c>
      <c r="B9" s="35" t="inlineStr">
        <is>
          <t>Sprint 0</t>
        </is>
      </c>
      <c r="C9" s="34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34" t="inlineStr">
        <is>
          <t>SaaS Readiness Review</t>
        </is>
      </c>
      <c r="H9" s="34" t="inlineStr">
        <is>
          <t>routers/auth.py:148,162</t>
        </is>
      </c>
      <c r="I9" s="34" t="inlineStr">
        <is>
          <t>S</t>
        </is>
      </c>
      <c r="J9" s="37" t="inlineStr">
        <is>
          <t>Backlog</t>
        </is>
      </c>
      <c r="K9" s="34" t="inlineStr"/>
      <c r="L9" s="34" t="inlineStr"/>
      <c r="M9" s="34" t="inlineStr"/>
      <c r="N9" s="23" t="inlineStr">
        <is>
          <t>Yes</t>
        </is>
      </c>
      <c r="O9" s="22" t="inlineStr"/>
    </row>
    <row r="10" ht="32" customHeight="1">
      <c r="A10" s="34" t="inlineStr">
        <is>
          <t>S0-09</t>
        </is>
      </c>
      <c r="B10" s="35" t="inlineStr">
        <is>
          <t>Sprint 0</t>
        </is>
      </c>
      <c r="C10" s="34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34" t="inlineStr">
        <is>
          <t>SaaS Readiness Review</t>
        </is>
      </c>
      <c r="H10" s="34" t="inlineStr">
        <is>
          <t>core.py:237,297</t>
        </is>
      </c>
      <c r="I10" s="34" t="inlineStr">
        <is>
          <t>S</t>
        </is>
      </c>
      <c r="J10" s="37" t="inlineStr">
        <is>
          <t>Backlog</t>
        </is>
      </c>
      <c r="K10" s="34" t="inlineStr"/>
      <c r="L10" s="34" t="inlineStr"/>
      <c r="M10" s="34" t="inlineStr"/>
      <c r="N10" s="23" t="inlineStr">
        <is>
          <t>Yes</t>
        </is>
      </c>
      <c r="O10" s="22" t="inlineStr"/>
    </row>
    <row r="11" ht="32" customHeight="1">
      <c r="A11" s="34" t="inlineStr">
        <is>
          <t>S0-10</t>
        </is>
      </c>
      <c r="B11" s="35" t="inlineStr">
        <is>
          <t>Sprint 0</t>
        </is>
      </c>
      <c r="C11" s="34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34" t="inlineStr">
        <is>
          <t>SaaS Readiness Review</t>
        </is>
      </c>
      <c r="H11" s="34" t="inlineStr">
        <is>
          <t>server.py:1372,1386,1396,1397</t>
        </is>
      </c>
      <c r="I11" s="34" t="inlineStr">
        <is>
          <t>S</t>
        </is>
      </c>
      <c r="J11" s="37" t="inlineStr">
        <is>
          <t>Backlog</t>
        </is>
      </c>
      <c r="K11" s="34" t="inlineStr"/>
      <c r="L11" s="34" t="inlineStr"/>
      <c r="M11" s="34" t="inlineStr"/>
      <c r="N11" s="23" t="inlineStr">
        <is>
          <t>Yes</t>
        </is>
      </c>
      <c r="O11" s="22" t="inlineStr"/>
    </row>
    <row r="12" ht="32" customHeight="1">
      <c r="A12" s="34" t="inlineStr">
        <is>
          <t>S1-01</t>
        </is>
      </c>
      <c r="B12" s="39" t="inlineStr">
        <is>
          <t>Sprint 1</t>
        </is>
      </c>
      <c r="C12" s="34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34" t="inlineStr">
        <is>
          <t>Schema/Scale/Go-Live Review</t>
        </is>
      </c>
      <c r="H12" s="34" t="inlineStr">
        <is>
          <t>server.py:2765, 4946</t>
        </is>
      </c>
      <c r="I12" s="34" t="inlineStr">
        <is>
          <t>M</t>
        </is>
      </c>
      <c r="J12" s="37" t="inlineStr">
        <is>
          <t>Backlog</t>
        </is>
      </c>
      <c r="K12" s="34" t="inlineStr"/>
      <c r="L12" s="34" t="inlineStr"/>
      <c r="M12" s="34" t="inlineStr"/>
      <c r="N12" s="23" t="inlineStr">
        <is>
          <t>Yes</t>
        </is>
      </c>
      <c r="O12" s="22" t="inlineStr"/>
    </row>
    <row r="13" ht="32" customHeight="1">
      <c r="A13" s="34" t="inlineStr">
        <is>
          <t>S1-02</t>
        </is>
      </c>
      <c r="B13" s="39" t="inlineStr">
        <is>
          <t>Sprint 1</t>
        </is>
      </c>
      <c r="C13" s="34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34" t="inlineStr">
        <is>
          <t>Schema/Scale/Go-Live Review</t>
        </is>
      </c>
      <c r="H13" s="34" t="inlineStr">
        <is>
          <t>server.py:1357,1419,4004</t>
        </is>
      </c>
      <c r="I13" s="34" t="inlineStr">
        <is>
          <t>S</t>
        </is>
      </c>
      <c r="J13" s="37" t="inlineStr">
        <is>
          <t>Backlog</t>
        </is>
      </c>
      <c r="K13" s="34" t="inlineStr"/>
      <c r="L13" s="34" t="inlineStr"/>
      <c r="M13" s="34" t="inlineStr"/>
      <c r="N13" s="23" t="inlineStr">
        <is>
          <t>Yes</t>
        </is>
      </c>
      <c r="O13" s="22" t="inlineStr"/>
    </row>
    <row r="14" ht="32" customHeight="1">
      <c r="A14" s="34" t="inlineStr">
        <is>
          <t>S1-03</t>
        </is>
      </c>
      <c r="B14" s="39" t="inlineStr">
        <is>
          <t>Sprint 1</t>
        </is>
      </c>
      <c r="C14" s="34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34" t="inlineStr">
        <is>
          <t>Schema/Scale/Go-Live Review</t>
        </is>
      </c>
      <c r="H14" s="34" t="inlineStr">
        <is>
          <t>server.py:1739,1902,3032; ledger.py:146</t>
        </is>
      </c>
      <c r="I14" s="34" t="inlineStr">
        <is>
          <t>M</t>
        </is>
      </c>
      <c r="J14" s="37" t="inlineStr">
        <is>
          <t>Backlog</t>
        </is>
      </c>
      <c r="K14" s="34" t="inlineStr"/>
      <c r="L14" s="34" t="inlineStr"/>
      <c r="M14" s="34" t="inlineStr"/>
      <c r="N14" s="23" t="inlineStr">
        <is>
          <t>Yes</t>
        </is>
      </c>
      <c r="O14" s="22" t="inlineStr"/>
    </row>
    <row r="15" ht="32" customHeight="1">
      <c r="A15" s="34" t="inlineStr">
        <is>
          <t>S1-04</t>
        </is>
      </c>
      <c r="B15" s="39" t="inlineStr">
        <is>
          <t>Sprint 1</t>
        </is>
      </c>
      <c r="C15" s="34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34" t="inlineStr">
        <is>
          <t>Schema/Scale/Go-Live Review</t>
        </is>
      </c>
      <c r="H15" s="34" t="inlineStr">
        <is>
          <t>(missing — new file)</t>
        </is>
      </c>
      <c r="I15" s="34" t="inlineStr">
        <is>
          <t>M</t>
        </is>
      </c>
      <c r="J15" s="37" t="inlineStr">
        <is>
          <t>Backlog</t>
        </is>
      </c>
      <c r="K15" s="34" t="inlineStr"/>
      <c r="L15" s="34" t="inlineStr"/>
      <c r="M15" s="34" t="inlineStr"/>
      <c r="N15" s="23" t="inlineStr">
        <is>
          <t>Yes</t>
        </is>
      </c>
      <c r="O15" s="22" t="inlineStr"/>
    </row>
    <row r="16" ht="32" customHeight="1">
      <c r="A16" s="34" t="inlineStr">
        <is>
          <t>S1-05</t>
        </is>
      </c>
      <c r="B16" s="39" t="inlineStr">
        <is>
          <t>Sprint 1</t>
        </is>
      </c>
      <c r="C16" s="34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34" t="inlineStr">
        <is>
          <t>Schema/Scale/Go-Live Review</t>
        </is>
      </c>
      <c r="H16" s="34" t="inlineStr">
        <is>
          <t>core.py:177</t>
        </is>
      </c>
      <c r="I16" s="34" t="inlineStr">
        <is>
          <t>M</t>
        </is>
      </c>
      <c r="J16" s="37" t="inlineStr">
        <is>
          <t>Backlog</t>
        </is>
      </c>
      <c r="K16" s="34" t="inlineStr"/>
      <c r="L16" s="34" t="inlineStr"/>
      <c r="M16" s="34" t="inlineStr"/>
      <c r="N16" s="23" t="inlineStr">
        <is>
          <t>Yes</t>
        </is>
      </c>
      <c r="O16" s="22" t="inlineStr"/>
    </row>
    <row r="17" ht="32" customHeight="1">
      <c r="A17" s="34" t="inlineStr">
        <is>
          <t>S1-06</t>
        </is>
      </c>
      <c r="B17" s="39" t="inlineStr">
        <is>
          <t>Sprint 1</t>
        </is>
      </c>
      <c r="C17" s="34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34" t="inlineStr">
        <is>
          <t>Schema/Scale/Go-Live Review</t>
        </is>
      </c>
      <c r="H17" s="34" t="inlineStr">
        <is>
          <t>routers/decisions.py:166; server.py:2429; routers/brief.py:95,98,238,262</t>
        </is>
      </c>
      <c r="I17" s="34" t="inlineStr">
        <is>
          <t>M</t>
        </is>
      </c>
      <c r="J17" s="37" t="inlineStr">
        <is>
          <t>Backlog</t>
        </is>
      </c>
      <c r="K17" s="34" t="inlineStr"/>
      <c r="L17" s="34" t="inlineStr"/>
      <c r="M17" s="34" t="inlineStr"/>
      <c r="N17" s="23" t="inlineStr">
        <is>
          <t>Yes</t>
        </is>
      </c>
      <c r="O17" s="22" t="inlineStr"/>
    </row>
    <row r="18" ht="32" customHeight="1">
      <c r="A18" s="34" t="inlineStr">
        <is>
          <t>S2-01</t>
        </is>
      </c>
      <c r="B18" s="40" t="inlineStr">
        <is>
          <t>Sprint 2</t>
        </is>
      </c>
      <c r="C18" s="34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34" t="inlineStr">
        <is>
          <t>SaaS Readiness Review</t>
        </is>
      </c>
      <c r="H18" s="34" t="inlineStr">
        <is>
          <t>routers/tasks.py:317,360,395; decisions.py:144-227; brain_docs.py:320,329; ledger.py:585,638,684</t>
        </is>
      </c>
      <c r="I18" s="34" t="inlineStr">
        <is>
          <t>M</t>
        </is>
      </c>
      <c r="J18" s="37" t="inlineStr">
        <is>
          <t>Backlog</t>
        </is>
      </c>
      <c r="K18" s="34" t="inlineStr"/>
      <c r="L18" s="34" t="inlineStr"/>
      <c r="M18" s="34" t="inlineStr"/>
      <c r="N18" s="41" t="inlineStr">
        <is>
          <t>No</t>
        </is>
      </c>
      <c r="O18" s="22" t="inlineStr"/>
    </row>
    <row r="19" ht="32" customHeight="1">
      <c r="A19" s="34" t="inlineStr">
        <is>
          <t>S2-02</t>
        </is>
      </c>
      <c r="B19" s="40" t="inlineStr">
        <is>
          <t>Sprint 2</t>
        </is>
      </c>
      <c r="C19" s="34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34" t="inlineStr">
        <is>
          <t>SaaS Readiness Review</t>
        </is>
      </c>
      <c r="H19" s="34" t="inlineStr">
        <is>
          <t>routers/admin.py:161-186</t>
        </is>
      </c>
      <c r="I19" s="34" t="inlineStr">
        <is>
          <t>S</t>
        </is>
      </c>
      <c r="J19" s="37" t="inlineStr">
        <is>
          <t>Backlog</t>
        </is>
      </c>
      <c r="K19" s="34" t="inlineStr"/>
      <c r="L19" s="34" t="inlineStr"/>
      <c r="M19" s="34" t="inlineStr"/>
      <c r="N19" s="41" t="inlineStr">
        <is>
          <t>No</t>
        </is>
      </c>
      <c r="O19" s="22" t="inlineStr"/>
    </row>
    <row r="20" ht="32" customHeight="1">
      <c r="A20" s="34" t="inlineStr">
        <is>
          <t>S2-03</t>
        </is>
      </c>
      <c r="B20" s="40" t="inlineStr">
        <is>
          <t>Sprint 2</t>
        </is>
      </c>
      <c r="C20" s="34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34" t="inlineStr">
        <is>
          <t>Schema/Scale/Go-Live Review</t>
        </is>
      </c>
      <c r="H20" s="34" t="inlineStr">
        <is>
          <t>server.py:1418-1428,1357; 3999-4028</t>
        </is>
      </c>
      <c r="I20" s="34" t="inlineStr">
        <is>
          <t>M</t>
        </is>
      </c>
      <c r="J20" s="37" t="inlineStr">
        <is>
          <t>Backlog</t>
        </is>
      </c>
      <c r="K20" s="34" t="inlineStr"/>
      <c r="L20" s="34" t="inlineStr"/>
      <c r="M20" s="34" t="inlineStr"/>
      <c r="N20" s="23" t="inlineStr">
        <is>
          <t>Yes</t>
        </is>
      </c>
      <c r="O20" s="22" t="inlineStr"/>
    </row>
    <row r="21" ht="32" customHeight="1">
      <c r="A21" s="34" t="inlineStr">
        <is>
          <t>S2-04</t>
        </is>
      </c>
      <c r="B21" s="40" t="inlineStr">
        <is>
          <t>Sprint 2</t>
        </is>
      </c>
      <c r="C21" s="34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34" t="inlineStr">
        <is>
          <t>SaaS Readiness Review</t>
        </is>
      </c>
      <c r="H21" s="34" t="inlineStr">
        <is>
          <t>server.py:3993-3995</t>
        </is>
      </c>
      <c r="I21" s="34" t="inlineStr">
        <is>
          <t>S</t>
        </is>
      </c>
      <c r="J21" s="37" t="inlineStr">
        <is>
          <t>Backlog</t>
        </is>
      </c>
      <c r="K21" s="34" t="inlineStr"/>
      <c r="L21" s="34" t="inlineStr"/>
      <c r="M21" s="34" t="inlineStr"/>
      <c r="N21" s="41" t="inlineStr">
        <is>
          <t>No</t>
        </is>
      </c>
      <c r="O21" s="22" t="inlineStr"/>
    </row>
    <row r="22" ht="32" customHeight="1">
      <c r="A22" s="34" t="inlineStr">
        <is>
          <t>S2-05</t>
        </is>
      </c>
      <c r="B22" s="40" t="inlineStr">
        <is>
          <t>Sprint 2</t>
        </is>
      </c>
      <c r="C22" s="34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34" t="inlineStr">
        <is>
          <t>SaaS Readiness Review</t>
        </is>
      </c>
      <c r="H22" s="34" t="inlineStr">
        <is>
          <t>server.py:2142-2158; routers/decisions.py:44,172-175</t>
        </is>
      </c>
      <c r="I22" s="34" t="inlineStr">
        <is>
          <t>S</t>
        </is>
      </c>
      <c r="J22" s="37" t="inlineStr">
        <is>
          <t>Backlog</t>
        </is>
      </c>
      <c r="K22" s="34" t="inlineStr"/>
      <c r="L22" s="34" t="inlineStr"/>
      <c r="M22" s="34" t="inlineStr"/>
      <c r="N22" s="41" t="inlineStr">
        <is>
          <t>No</t>
        </is>
      </c>
      <c r="O22" s="22" t="inlineStr"/>
    </row>
    <row r="23" ht="32" customHeight="1">
      <c r="A23" s="34" t="inlineStr">
        <is>
          <t>S2-06</t>
        </is>
      </c>
      <c r="B23" s="40" t="inlineStr">
        <is>
          <t>Sprint 2</t>
        </is>
      </c>
      <c r="C23" s="34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34" t="inlineStr">
        <is>
          <t>SaaS Readiness Review</t>
        </is>
      </c>
      <c r="H23" s="34" t="inlineStr">
        <is>
          <t>core.py:225-226</t>
        </is>
      </c>
      <c r="I23" s="34" t="inlineStr">
        <is>
          <t>M</t>
        </is>
      </c>
      <c r="J23" s="37" t="inlineStr">
        <is>
          <t>Backlog</t>
        </is>
      </c>
      <c r="K23" s="34" t="inlineStr"/>
      <c r="L23" s="34" t="inlineStr"/>
      <c r="M23" s="34" t="inlineStr"/>
      <c r="N23" s="41" t="inlineStr">
        <is>
          <t>No</t>
        </is>
      </c>
      <c r="O23" s="22" t="inlineStr"/>
    </row>
    <row r="24" ht="32" customHeight="1">
      <c r="A24" s="34" t="inlineStr">
        <is>
          <t>S2-07</t>
        </is>
      </c>
      <c r="B24" s="40" t="inlineStr">
        <is>
          <t>Sprint 2</t>
        </is>
      </c>
      <c r="C24" s="34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34" t="inlineStr">
        <is>
          <t>SaaS Readiness Review</t>
        </is>
      </c>
      <c r="H24" s="34" t="inlineStr">
        <is>
          <t>routers/auth.py</t>
        </is>
      </c>
      <c r="I24" s="34" t="inlineStr">
        <is>
          <t>M</t>
        </is>
      </c>
      <c r="J24" s="37" t="inlineStr">
        <is>
          <t>Backlog</t>
        </is>
      </c>
      <c r="K24" s="34" t="inlineStr"/>
      <c r="L24" s="34" t="inlineStr"/>
      <c r="M24" s="34" t="inlineStr"/>
      <c r="N24" s="41" t="inlineStr">
        <is>
          <t>No</t>
        </is>
      </c>
      <c r="O24" s="22" t="inlineStr"/>
    </row>
    <row r="25" ht="32" customHeight="1">
      <c r="A25" s="34" t="inlineStr">
        <is>
          <t>S2-08</t>
        </is>
      </c>
      <c r="B25" s="40" t="inlineStr">
        <is>
          <t>Sprint 2</t>
        </is>
      </c>
      <c r="C25" s="34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34" t="inlineStr">
        <is>
          <t>Schema/Scale/Go-Live Review</t>
        </is>
      </c>
      <c r="H25" s="34" t="inlineStr">
        <is>
          <t>server.py:4865</t>
        </is>
      </c>
      <c r="I25" s="34" t="inlineStr">
        <is>
          <t>S</t>
        </is>
      </c>
      <c r="J25" s="37" t="inlineStr">
        <is>
          <t>Backlog</t>
        </is>
      </c>
      <c r="K25" s="34" t="inlineStr"/>
      <c r="L25" s="34" t="inlineStr"/>
      <c r="M25" s="34" t="inlineStr"/>
      <c r="N25" s="41" t="inlineStr">
        <is>
          <t>No</t>
        </is>
      </c>
      <c r="O25" s="22" t="inlineStr"/>
    </row>
    <row r="26" ht="32" customHeight="1">
      <c r="A26" s="34" t="inlineStr">
        <is>
          <t>S2-09</t>
        </is>
      </c>
      <c r="B26" s="40" t="inlineStr">
        <is>
          <t>Sprint 2</t>
        </is>
      </c>
      <c r="C26" s="34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34" t="inlineStr">
        <is>
          <t>Schema/Scale/Go-Live Review</t>
        </is>
      </c>
      <c r="H26" s="34" t="inlineStr">
        <is>
          <t>routers/tasks.py; server.py:3326</t>
        </is>
      </c>
      <c r="I26" s="34" t="inlineStr">
        <is>
          <t>S</t>
        </is>
      </c>
      <c r="J26" s="37" t="inlineStr">
        <is>
          <t>Backlog</t>
        </is>
      </c>
      <c r="K26" s="34" t="inlineStr"/>
      <c r="L26" s="34" t="inlineStr"/>
      <c r="M26" s="34" t="inlineStr"/>
      <c r="N26" s="41" t="inlineStr">
        <is>
          <t>No</t>
        </is>
      </c>
      <c r="O26" s="22" t="inlineStr"/>
    </row>
    <row r="27" ht="32" customHeight="1">
      <c r="A27" s="34" t="inlineStr">
        <is>
          <t>S2-10</t>
        </is>
      </c>
      <c r="B27" s="40" t="inlineStr">
        <is>
          <t>Sprint 2</t>
        </is>
      </c>
      <c r="C27" s="34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34" t="inlineStr">
        <is>
          <t>Schema/Scale/Go-Live Review</t>
        </is>
      </c>
      <c r="H27" s="34" t="inlineStr">
        <is>
          <t>routers/auth.py:92-93</t>
        </is>
      </c>
      <c r="I27" s="34" t="inlineStr">
        <is>
          <t>S</t>
        </is>
      </c>
      <c r="J27" s="37" t="inlineStr">
        <is>
          <t>Backlog</t>
        </is>
      </c>
      <c r="K27" s="34" t="inlineStr"/>
      <c r="L27" s="34" t="inlineStr"/>
      <c r="M27" s="34" t="inlineStr"/>
      <c r="N27" s="41" t="inlineStr">
        <is>
          <t>No</t>
        </is>
      </c>
      <c r="O27" s="22" t="inlineStr"/>
    </row>
    <row r="28" ht="32" customHeight="1">
      <c r="A28" s="34" t="inlineStr">
        <is>
          <t>S2-11</t>
        </is>
      </c>
      <c r="B28" s="40" t="inlineStr">
        <is>
          <t>Sprint 2</t>
        </is>
      </c>
      <c r="C28" s="34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34" t="inlineStr">
        <is>
          <t>Schema/Scale/Go-Live Review</t>
        </is>
      </c>
      <c r="H28" s="34" t="inlineStr">
        <is>
          <t>server.py:1154-1160</t>
        </is>
      </c>
      <c r="I28" s="34" t="inlineStr">
        <is>
          <t>S</t>
        </is>
      </c>
      <c r="J28" s="37" t="inlineStr">
        <is>
          <t>Backlog</t>
        </is>
      </c>
      <c r="K28" s="34" t="inlineStr"/>
      <c r="L28" s="34" t="inlineStr"/>
      <c r="M28" s="34" t="inlineStr"/>
      <c r="N28" s="41" t="inlineStr">
        <is>
          <t>No</t>
        </is>
      </c>
      <c r="O28" s="22" t="inlineStr"/>
    </row>
    <row r="29" ht="32" customHeight="1">
      <c r="A29" s="34" t="inlineStr">
        <is>
          <t>S2-12</t>
        </is>
      </c>
      <c r="B29" s="40" t="inlineStr">
        <is>
          <t>Sprint 2</t>
        </is>
      </c>
      <c r="C29" s="34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34" t="inlineStr">
        <is>
          <t>Schema/Scale/Go-Live Review</t>
        </is>
      </c>
      <c r="H29" s="34" t="inlineStr">
        <is>
          <t>server.py:2433</t>
        </is>
      </c>
      <c r="I29" s="34" t="inlineStr">
        <is>
          <t>S</t>
        </is>
      </c>
      <c r="J29" s="37" t="inlineStr">
        <is>
          <t>Backlog</t>
        </is>
      </c>
      <c r="K29" s="34" t="inlineStr"/>
      <c r="L29" s="34" t="inlineStr"/>
      <c r="M29" s="34" t="inlineStr"/>
      <c r="N29" s="41" t="inlineStr">
        <is>
          <t>No</t>
        </is>
      </c>
      <c r="O29" s="22" t="inlineStr"/>
    </row>
    <row r="30" ht="32" customHeight="1">
      <c r="A30" s="34" t="inlineStr">
        <is>
          <t>S3-01</t>
        </is>
      </c>
      <c r="B30" s="43" t="inlineStr">
        <is>
          <t>Sprint 3</t>
        </is>
      </c>
      <c r="C30" s="34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34" t="inlineStr">
        <is>
          <t>SaaS Readiness Review</t>
        </is>
      </c>
      <c r="H30" s="34" t="inlineStr">
        <is>
          <t>requirements.txt:129</t>
        </is>
      </c>
      <c r="I30" s="34" t="inlineStr">
        <is>
          <t>L</t>
        </is>
      </c>
      <c r="J30" s="37" t="inlineStr">
        <is>
          <t>Backlog</t>
        </is>
      </c>
      <c r="K30" s="34" t="inlineStr"/>
      <c r="L30" s="34" t="inlineStr"/>
      <c r="M30" s="34" t="inlineStr"/>
      <c r="N30" s="23" t="inlineStr">
        <is>
          <t>Yes</t>
        </is>
      </c>
      <c r="O30" s="22" t="inlineStr"/>
    </row>
    <row r="31" ht="32" customHeight="1">
      <c r="A31" s="34" t="inlineStr">
        <is>
          <t>S3-02</t>
        </is>
      </c>
      <c r="B31" s="43" t="inlineStr">
        <is>
          <t>Sprint 3</t>
        </is>
      </c>
      <c r="C31" s="34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34" t="inlineStr">
        <is>
          <t>SaaS Readiness Review</t>
        </is>
      </c>
      <c r="H31" s="34" t="inlineStr">
        <is>
          <t>tenant document schema</t>
        </is>
      </c>
      <c r="I31" s="34" t="inlineStr">
        <is>
          <t>M</t>
        </is>
      </c>
      <c r="J31" s="37" t="inlineStr">
        <is>
          <t>Backlog</t>
        </is>
      </c>
      <c r="K31" s="34" t="inlineStr"/>
      <c r="L31" s="34" t="inlineStr"/>
      <c r="M31" s="34" t="inlineStr"/>
      <c r="N31" s="23" t="inlineStr">
        <is>
          <t>Yes</t>
        </is>
      </c>
      <c r="O31" s="22" t="inlineStr"/>
    </row>
    <row r="32" ht="32" customHeight="1">
      <c r="A32" s="34" t="inlineStr">
        <is>
          <t>S3-03</t>
        </is>
      </c>
      <c r="B32" s="43" t="inlineStr">
        <is>
          <t>Sprint 3</t>
        </is>
      </c>
      <c r="C32" s="34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34" t="inlineStr">
        <is>
          <t>SaaS Readiness Review</t>
        </is>
      </c>
      <c r="H32" s="34" t="inlineStr">
        <is>
          <t>config.py:53-60; core.py:177-205; routers/admin.py:335-348</t>
        </is>
      </c>
      <c r="I32" s="34" t="inlineStr">
        <is>
          <t>L</t>
        </is>
      </c>
      <c r="J32" s="37" t="inlineStr">
        <is>
          <t>Backlog</t>
        </is>
      </c>
      <c r="K32" s="34" t="inlineStr"/>
      <c r="L32" s="34" t="inlineStr"/>
      <c r="M32" s="34" t="inlineStr"/>
      <c r="N32" s="23" t="inlineStr">
        <is>
          <t>Yes</t>
        </is>
      </c>
      <c r="O32" s="22" t="inlineStr"/>
    </row>
    <row r="33" ht="32" customHeight="1">
      <c r="A33" s="34" t="inlineStr">
        <is>
          <t>S3-04</t>
        </is>
      </c>
      <c r="B33" s="43" t="inlineStr">
        <is>
          <t>Sprint 3</t>
        </is>
      </c>
      <c r="C33" s="34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34" t="inlineStr">
        <is>
          <t>SaaS Readiness Review</t>
        </is>
      </c>
      <c r="H33" s="34" t="inlineStr">
        <is>
          <t>services/usage.py</t>
        </is>
      </c>
      <c r="I33" s="34" t="inlineStr">
        <is>
          <t>M</t>
        </is>
      </c>
      <c r="J33" s="37" t="inlineStr">
        <is>
          <t>Backlog</t>
        </is>
      </c>
      <c r="K33" s="34" t="inlineStr"/>
      <c r="L33" s="34" t="inlineStr"/>
      <c r="M33" s="34" t="inlineStr"/>
      <c r="N33" s="23" t="inlineStr">
        <is>
          <t>Yes</t>
        </is>
      </c>
      <c r="O33" s="22" t="inlineStr"/>
    </row>
    <row r="34" ht="32" customHeight="1">
      <c r="A34" s="34" t="inlineStr">
        <is>
          <t>S4-01</t>
        </is>
      </c>
      <c r="B34" s="44" t="inlineStr">
        <is>
          <t>Sprint 4</t>
        </is>
      </c>
      <c r="C34" s="34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34" t="inlineStr">
        <is>
          <t>AI/Brain/Agentic Review</t>
        </is>
      </c>
      <c r="H34" s="34" t="inlineStr">
        <is>
          <t>server.py:4894; brain.py:250-255</t>
        </is>
      </c>
      <c r="I34" s="34" t="inlineStr">
        <is>
          <t>S</t>
        </is>
      </c>
      <c r="J34" s="37" t="inlineStr">
        <is>
          <t>Backlog</t>
        </is>
      </c>
      <c r="K34" s="34" t="inlineStr"/>
      <c r="L34" s="34" t="inlineStr"/>
      <c r="M34" s="34" t="inlineStr"/>
      <c r="N34" s="41" t="inlineStr">
        <is>
          <t>No</t>
        </is>
      </c>
      <c r="O34" s="22" t="inlineStr"/>
    </row>
    <row r="35" ht="32" customHeight="1">
      <c r="A35" s="34" t="inlineStr">
        <is>
          <t>S4-02</t>
        </is>
      </c>
      <c r="B35" s="44" t="inlineStr">
        <is>
          <t>Sprint 4</t>
        </is>
      </c>
      <c r="C35" s="34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34" t="inlineStr">
        <is>
          <t>AI/Brain/Agentic Review</t>
        </is>
      </c>
      <c r="H35" s="34" t="inlineStr">
        <is>
          <t>tasks.py:507; services/brain_context.py</t>
        </is>
      </c>
      <c r="I35" s="34" t="inlineStr">
        <is>
          <t>M</t>
        </is>
      </c>
      <c r="J35" s="37" t="inlineStr">
        <is>
          <t>Backlog</t>
        </is>
      </c>
      <c r="K35" s="34" t="inlineStr"/>
      <c r="L35" s="34" t="inlineStr"/>
      <c r="M35" s="34" t="inlineStr"/>
      <c r="N35" s="41" t="inlineStr">
        <is>
          <t>No</t>
        </is>
      </c>
      <c r="O35" s="22" t="inlineStr"/>
    </row>
    <row r="36" ht="32" customHeight="1">
      <c r="A36" s="34" t="inlineStr">
        <is>
          <t>S4-03</t>
        </is>
      </c>
      <c r="B36" s="44" t="inlineStr">
        <is>
          <t>Sprint 4</t>
        </is>
      </c>
      <c r="C36" s="34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34" t="inlineStr">
        <is>
          <t>AI/Brain/Agentic Review</t>
        </is>
      </c>
      <c r="H36" s="34" t="inlineStr">
        <is>
          <t>brain.py:714,752,794</t>
        </is>
      </c>
      <c r="I36" s="34" t="inlineStr">
        <is>
          <t>S</t>
        </is>
      </c>
      <c r="J36" s="37" t="inlineStr">
        <is>
          <t>Backlog</t>
        </is>
      </c>
      <c r="K36" s="34" t="inlineStr"/>
      <c r="L36" s="34" t="inlineStr"/>
      <c r="M36" s="34" t="inlineStr"/>
      <c r="N36" s="41" t="inlineStr">
        <is>
          <t>No</t>
        </is>
      </c>
      <c r="O36" s="22" t="inlineStr"/>
    </row>
    <row r="37" ht="32" customHeight="1">
      <c r="A37" s="34" t="inlineStr">
        <is>
          <t>S4-04</t>
        </is>
      </c>
      <c r="B37" s="44" t="inlineStr">
        <is>
          <t>Sprint 4</t>
        </is>
      </c>
      <c r="C37" s="34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34" t="inlineStr">
        <is>
          <t>AI/Brain/Agentic Review</t>
        </is>
      </c>
      <c r="H37" s="34" t="inlineStr">
        <is>
          <t>routers/brain.py:52,205</t>
        </is>
      </c>
      <c r="I37" s="34" t="inlineStr">
        <is>
          <t>M</t>
        </is>
      </c>
      <c r="J37" s="37" t="inlineStr">
        <is>
          <t>Backlog</t>
        </is>
      </c>
      <c r="K37" s="34" t="inlineStr"/>
      <c r="L37" s="34" t="inlineStr"/>
      <c r="M37" s="34" t="inlineStr"/>
      <c r="N37" s="41" t="inlineStr">
        <is>
          <t>No</t>
        </is>
      </c>
      <c r="O37" s="22" t="inlineStr"/>
    </row>
    <row r="38" ht="32" customHeight="1">
      <c r="A38" s="34" t="inlineStr">
        <is>
          <t>S4-05</t>
        </is>
      </c>
      <c r="B38" s="44" t="inlineStr">
        <is>
          <t>Sprint 4</t>
        </is>
      </c>
      <c r="C38" s="34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34" t="inlineStr">
        <is>
          <t>AI/Brain/Agentic Review</t>
        </is>
      </c>
      <c r="H38" s="34" t="inlineStr">
        <is>
          <t>routers/brain_docs.py:147-213</t>
        </is>
      </c>
      <c r="I38" s="34" t="inlineStr">
        <is>
          <t>L</t>
        </is>
      </c>
      <c r="J38" s="37" t="inlineStr">
        <is>
          <t>Backlog</t>
        </is>
      </c>
      <c r="K38" s="34" t="inlineStr"/>
      <c r="L38" s="34" t="inlineStr"/>
      <c r="M38" s="34" t="inlineStr"/>
      <c r="N38" s="41" t="inlineStr">
        <is>
          <t>No</t>
        </is>
      </c>
      <c r="O38" s="22" t="inlineStr"/>
    </row>
    <row r="39" ht="32" customHeight="1">
      <c r="A39" s="34" t="inlineStr">
        <is>
          <t>S4-06</t>
        </is>
      </c>
      <c r="B39" s="44" t="inlineStr">
        <is>
          <t>Sprint 4</t>
        </is>
      </c>
      <c r="C39" s="34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34" t="inlineStr">
        <is>
          <t>AI/Brain/Agentic Review</t>
        </is>
      </c>
      <c r="H39" s="34" t="inlineStr">
        <is>
          <t>(new infra)</t>
        </is>
      </c>
      <c r="I39" s="34" t="inlineStr">
        <is>
          <t>L</t>
        </is>
      </c>
      <c r="J39" s="37" t="inlineStr">
        <is>
          <t>Backlog</t>
        </is>
      </c>
      <c r="K39" s="34" t="inlineStr"/>
      <c r="L39" s="34" t="inlineStr"/>
      <c r="M39" s="34" t="inlineStr"/>
      <c r="N39" s="41" t="inlineStr">
        <is>
          <t>No</t>
        </is>
      </c>
      <c r="O39" s="22" t="inlineStr"/>
    </row>
    <row r="40" ht="32" customHeight="1">
      <c r="A40" s="34" t="inlineStr">
        <is>
          <t>S4-07</t>
        </is>
      </c>
      <c r="B40" s="44" t="inlineStr">
        <is>
          <t>Sprint 4</t>
        </is>
      </c>
      <c r="C40" s="34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34" t="inlineStr">
        <is>
          <t>AI/Brain/Agentic Review</t>
        </is>
      </c>
      <c r="H40" s="34" t="inlineStr">
        <is>
          <t>routers/brain.py; routers/brain_router.py</t>
        </is>
      </c>
      <c r="I40" s="34" t="inlineStr">
        <is>
          <t>M</t>
        </is>
      </c>
      <c r="J40" s="37" t="inlineStr">
        <is>
          <t>Backlog</t>
        </is>
      </c>
      <c r="K40" s="34" t="inlineStr"/>
      <c r="L40" s="34" t="inlineStr"/>
      <c r="M40" s="34" t="inlineStr"/>
      <c r="N40" s="41" t="inlineStr">
        <is>
          <t>No</t>
        </is>
      </c>
      <c r="O40" s="22" t="inlineStr"/>
    </row>
    <row r="41" ht="32" customHeight="1">
      <c r="A41" s="34" t="inlineStr">
        <is>
          <t>S4-08</t>
        </is>
      </c>
      <c r="B41" s="44" t="inlineStr">
        <is>
          <t>Sprint 4</t>
        </is>
      </c>
      <c r="C41" s="34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34" t="inlineStr">
        <is>
          <t>AI/Brain/Agentic Review</t>
        </is>
      </c>
      <c r="H41" s="34" t="inlineStr">
        <is>
          <t>routers/brain_router.py:266-277,481-482</t>
        </is>
      </c>
      <c r="I41" s="34" t="inlineStr">
        <is>
          <t>L</t>
        </is>
      </c>
      <c r="J41" s="37" t="inlineStr">
        <is>
          <t>Backlog</t>
        </is>
      </c>
      <c r="K41" s="34" t="inlineStr"/>
      <c r="L41" s="34" t="inlineStr"/>
      <c r="M41" s="34" t="inlineStr"/>
      <c r="N41" s="41" t="inlineStr">
        <is>
          <t>No</t>
        </is>
      </c>
      <c r="O41" s="22" t="inlineStr"/>
    </row>
    <row r="42" ht="32" customHeight="1">
      <c r="A42" s="34" t="inlineStr">
        <is>
          <t>S4-09</t>
        </is>
      </c>
      <c r="B42" s="44" t="inlineStr">
        <is>
          <t>Sprint 4</t>
        </is>
      </c>
      <c r="C42" s="34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34" t="inlineStr">
        <is>
          <t>AI/Brain/Agentic Review</t>
        </is>
      </c>
      <c r="H42" s="34" t="inlineStr">
        <is>
          <t>routers/brain_router.py:95,353</t>
        </is>
      </c>
      <c r="I42" s="34" t="inlineStr">
        <is>
          <t>M</t>
        </is>
      </c>
      <c r="J42" s="37" t="inlineStr">
        <is>
          <t>Backlog</t>
        </is>
      </c>
      <c r="K42" s="34" t="inlineStr"/>
      <c r="L42" s="34" t="inlineStr"/>
      <c r="M42" s="34" t="inlineStr"/>
      <c r="N42" s="41" t="inlineStr">
        <is>
          <t>No</t>
        </is>
      </c>
      <c r="O42" s="22" t="inlineStr"/>
    </row>
    <row r="43" ht="32" customHeight="1">
      <c r="A43" s="34" t="inlineStr">
        <is>
          <t>S4-10</t>
        </is>
      </c>
      <c r="B43" s="44" t="inlineStr">
        <is>
          <t>Sprint 4</t>
        </is>
      </c>
      <c r="C43" s="34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34" t="inlineStr">
        <is>
          <t>AI/Brain/Agentic Review</t>
        </is>
      </c>
      <c r="H43" s="34" t="inlineStr">
        <is>
          <t>ledger.py:521-838; server.py (workflow advance, meetings)</t>
        </is>
      </c>
      <c r="I43" s="34" t="inlineStr">
        <is>
          <t>L</t>
        </is>
      </c>
      <c r="J43" s="37" t="inlineStr">
        <is>
          <t>Backlog</t>
        </is>
      </c>
      <c r="K43" s="34" t="inlineStr"/>
      <c r="L43" s="34" t="inlineStr"/>
      <c r="M43" s="34" t="inlineStr"/>
      <c r="N43" s="41" t="inlineStr">
        <is>
          <t>No</t>
        </is>
      </c>
      <c r="O43" s="22" t="inlineStr"/>
    </row>
    <row r="44" ht="32" customHeight="1">
      <c r="A44" s="34" t="inlineStr">
        <is>
          <t>S4-11</t>
        </is>
      </c>
      <c r="B44" s="44" t="inlineStr">
        <is>
          <t>Sprint 4</t>
        </is>
      </c>
      <c r="C44" s="34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34" t="inlineStr">
        <is>
          <t>AI/Brain/Agentic Review</t>
        </is>
      </c>
      <c r="H44" s="34" t="inlineStr">
        <is>
          <t>services/brain_context.py:36-47</t>
        </is>
      </c>
      <c r="I44" s="34" t="inlineStr">
        <is>
          <t>M</t>
        </is>
      </c>
      <c r="J44" s="37" t="inlineStr">
        <is>
          <t>Backlog</t>
        </is>
      </c>
      <c r="K44" s="34" t="inlineStr"/>
      <c r="L44" s="34" t="inlineStr"/>
      <c r="M44" s="34" t="inlineStr"/>
      <c r="N44" s="41" t="inlineStr">
        <is>
          <t>No</t>
        </is>
      </c>
      <c r="O44" s="22" t="inlineStr"/>
    </row>
    <row r="45" ht="32" customHeight="1">
      <c r="A45" s="34" t="inlineStr">
        <is>
          <t>S5-01</t>
        </is>
      </c>
      <c r="B45" s="45" t="inlineStr">
        <is>
          <t>Sprint 5</t>
        </is>
      </c>
      <c r="C45" s="34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34" t="inlineStr">
        <is>
          <t>Go-Live Gate</t>
        </is>
      </c>
      <c r="H45" s="34" t="inlineStr">
        <is>
          <t>(infra)</t>
        </is>
      </c>
      <c r="I45" s="34" t="inlineStr">
        <is>
          <t>M</t>
        </is>
      </c>
      <c r="J45" s="37" t="inlineStr">
        <is>
          <t>Backlog</t>
        </is>
      </c>
      <c r="K45" s="34" t="inlineStr"/>
      <c r="L45" s="34" t="inlineStr"/>
      <c r="M45" s="34" t="inlineStr"/>
      <c r="N45" s="23" t="inlineStr">
        <is>
          <t>Yes</t>
        </is>
      </c>
      <c r="O45" s="22" t="inlineStr"/>
    </row>
    <row r="46" ht="32" customHeight="1">
      <c r="A46" s="34" t="inlineStr">
        <is>
          <t>S5-02</t>
        </is>
      </c>
      <c r="B46" s="45" t="inlineStr">
        <is>
          <t>Sprint 5</t>
        </is>
      </c>
      <c r="C46" s="34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34" t="inlineStr">
        <is>
          <t>Go-Live Gate</t>
        </is>
      </c>
      <c r="H46" s="34" t="inlineStr">
        <is>
          <t>(new)</t>
        </is>
      </c>
      <c r="I46" s="34" t="inlineStr">
        <is>
          <t>M</t>
        </is>
      </c>
      <c r="J46" s="37" t="inlineStr">
        <is>
          <t>Backlog</t>
        </is>
      </c>
      <c r="K46" s="34" t="inlineStr"/>
      <c r="L46" s="34" t="inlineStr"/>
      <c r="M46" s="34" t="inlineStr"/>
      <c r="N46" s="23" t="inlineStr">
        <is>
          <t>Yes</t>
        </is>
      </c>
      <c r="O46" s="22" t="inlineStr"/>
    </row>
    <row r="47" ht="32" customHeight="1">
      <c r="A47" s="34" t="inlineStr">
        <is>
          <t>S5-03</t>
        </is>
      </c>
      <c r="B47" s="45" t="inlineStr">
        <is>
          <t>Sprint 5</t>
        </is>
      </c>
      <c r="C47" s="34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34" t="inlineStr">
        <is>
          <t>SaaS Readiness Review</t>
        </is>
      </c>
      <c r="H47" s="34" t="inlineStr">
        <is>
          <t>(missing)</t>
        </is>
      </c>
      <c r="I47" s="34" t="inlineStr">
        <is>
          <t>M</t>
        </is>
      </c>
      <c r="J47" s="37" t="inlineStr">
        <is>
          <t>Backlog</t>
        </is>
      </c>
      <c r="K47" s="34" t="inlineStr"/>
      <c r="L47" s="34" t="inlineStr"/>
      <c r="M47" s="34" t="inlineStr"/>
      <c r="N47" s="23" t="inlineStr">
        <is>
          <t>Yes</t>
        </is>
      </c>
      <c r="O47" s="22" t="inlineStr"/>
    </row>
    <row r="48" ht="32" customHeight="1">
      <c r="A48" s="34" t="inlineStr">
        <is>
          <t>S5-04</t>
        </is>
      </c>
      <c r="B48" s="45" t="inlineStr">
        <is>
          <t>Sprint 5</t>
        </is>
      </c>
      <c r="C48" s="34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34" t="inlineStr">
        <is>
          <t>SaaS Readiness Review</t>
        </is>
      </c>
      <c r="H48" s="34" t="inlineStr">
        <is>
          <t>(missing)</t>
        </is>
      </c>
      <c r="I48" s="34" t="inlineStr">
        <is>
          <t>M</t>
        </is>
      </c>
      <c r="J48" s="37" t="inlineStr">
        <is>
          <t>Backlog</t>
        </is>
      </c>
      <c r="K48" s="34" t="inlineStr"/>
      <c r="L48" s="34" t="inlineStr"/>
      <c r="M48" s="34" t="inlineStr"/>
      <c r="N48" s="23" t="inlineStr">
        <is>
          <t>Yes</t>
        </is>
      </c>
      <c r="O48" s="22" t="inlineStr"/>
    </row>
    <row r="49" ht="32" customHeight="1">
      <c r="A49" s="34" t="inlineStr">
        <is>
          <t>S5-05</t>
        </is>
      </c>
      <c r="B49" s="45" t="inlineStr">
        <is>
          <t>Sprint 5</t>
        </is>
      </c>
      <c r="C49" s="34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34" t="inlineStr">
        <is>
          <t>Go-Live Gate</t>
        </is>
      </c>
      <c r="H49" s="34" t="inlineStr">
        <is>
          <t>(new)</t>
        </is>
      </c>
      <c r="I49" s="34" t="inlineStr">
        <is>
          <t>L</t>
        </is>
      </c>
      <c r="J49" s="37" t="inlineStr">
        <is>
          <t>Backlog</t>
        </is>
      </c>
      <c r="K49" s="34" t="inlineStr"/>
      <c r="L49" s="34" t="inlineStr"/>
      <c r="M49" s="34" t="inlineStr"/>
      <c r="N49" s="23" t="inlineStr">
        <is>
          <t>Yes</t>
        </is>
      </c>
      <c r="O49" s="22" t="inlineStr"/>
    </row>
    <row r="50" ht="32" customHeight="1">
      <c r="A50" s="34" t="inlineStr">
        <is>
          <t>S5-06</t>
        </is>
      </c>
      <c r="B50" s="45" t="inlineStr">
        <is>
          <t>Sprint 5</t>
        </is>
      </c>
      <c r="C50" s="34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34" t="inlineStr">
        <is>
          <t>Go-Live Gate</t>
        </is>
      </c>
      <c r="H50" s="34" t="inlineStr">
        <is>
          <t>backend/pytest.ini, backend/tests/</t>
        </is>
      </c>
      <c r="I50" s="34" t="inlineStr">
        <is>
          <t>M</t>
        </is>
      </c>
      <c r="J50" s="37" t="inlineStr">
        <is>
          <t>Backlog</t>
        </is>
      </c>
      <c r="K50" s="34" t="inlineStr"/>
      <c r="L50" s="34" t="inlineStr"/>
      <c r="M50" s="34" t="inlineStr"/>
      <c r="N50" s="23" t="inlineStr">
        <is>
          <t>Yes</t>
        </is>
      </c>
      <c r="O50" s="22" t="inlineStr"/>
    </row>
    <row r="51" ht="32" customHeight="1">
      <c r="A51" s="34" t="inlineStr">
        <is>
          <t>S5-07</t>
        </is>
      </c>
      <c r="B51" s="45" t="inlineStr">
        <is>
          <t>Sprint 5</t>
        </is>
      </c>
      <c r="C51" s="34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34" t="inlineStr">
        <is>
          <t>Go-Live Gate</t>
        </is>
      </c>
      <c r="H51" s="34" t="inlineStr">
        <is>
          <t>(new)</t>
        </is>
      </c>
      <c r="I51" s="34" t="inlineStr">
        <is>
          <t>S</t>
        </is>
      </c>
      <c r="J51" s="37" t="inlineStr">
        <is>
          <t>Backlog</t>
        </is>
      </c>
      <c r="K51" s="34" t="inlineStr"/>
      <c r="L51" s="34" t="inlineStr"/>
      <c r="M51" s="34" t="inlineStr"/>
      <c r="N51" s="23" t="inlineStr">
        <is>
          <t>Yes</t>
        </is>
      </c>
      <c r="O51" s="22" t="inlineStr"/>
    </row>
    <row r="52" ht="32" customHeight="1">
      <c r="A52" s="34" t="inlineStr">
        <is>
          <t>S5-08</t>
        </is>
      </c>
      <c r="B52" s="45" t="inlineStr">
        <is>
          <t>Sprint 5</t>
        </is>
      </c>
      <c r="C52" s="34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34" t="inlineStr">
        <is>
          <t>SaaS Readiness Review</t>
        </is>
      </c>
      <c r="H52" s="34" t="inlineStr">
        <is>
          <t>backend/.env, config.py</t>
        </is>
      </c>
      <c r="I52" s="34" t="inlineStr">
        <is>
          <t>S</t>
        </is>
      </c>
      <c r="J52" s="37" t="inlineStr">
        <is>
          <t>Backlog</t>
        </is>
      </c>
      <c r="K52" s="34" t="inlineStr"/>
      <c r="L52" s="34" t="inlineStr"/>
      <c r="M52" s="34" t="inlineStr"/>
      <c r="N52" s="23" t="inlineStr">
        <is>
          <t>Yes</t>
        </is>
      </c>
      <c r="O52" s="22" t="inlineStr"/>
    </row>
    <row r="53" ht="32" customHeight="1">
      <c r="A53" s="34" t="inlineStr">
        <is>
          <t>S5-09</t>
        </is>
      </c>
      <c r="B53" s="45" t="inlineStr">
        <is>
          <t>Sprint 5</t>
        </is>
      </c>
      <c r="C53" s="34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34" t="inlineStr">
        <is>
          <t>Go-Live Gate</t>
        </is>
      </c>
      <c r="H53" s="34" t="inlineStr">
        <is>
          <t>(process)</t>
        </is>
      </c>
      <c r="I53" s="34" t="inlineStr">
        <is>
          <t>S</t>
        </is>
      </c>
      <c r="J53" s="37" t="inlineStr">
        <is>
          <t>Backlog</t>
        </is>
      </c>
      <c r="K53" s="34" t="inlineStr"/>
      <c r="L53" s="34" t="inlineStr"/>
      <c r="M53" s="34" t="inlineStr"/>
      <c r="N53" s="23" t="inlineStr">
        <is>
          <t>Yes</t>
        </is>
      </c>
      <c r="O53" s="22" t="inlineStr"/>
    </row>
    <row r="54" ht="32" customHeight="1">
      <c r="A54" s="34" t="inlineStr">
        <is>
          <t>S5-10</t>
        </is>
      </c>
      <c r="B54" s="45" t="inlineStr">
        <is>
          <t>Sprint 5</t>
        </is>
      </c>
      <c r="C54" s="34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34" t="inlineStr">
        <is>
          <t>Go-Live Gate</t>
        </is>
      </c>
      <c r="H54" s="34" t="inlineStr">
        <is>
          <t>(process)</t>
        </is>
      </c>
      <c r="I54" s="34" t="inlineStr">
        <is>
          <t>S</t>
        </is>
      </c>
      <c r="J54" s="37" t="inlineStr">
        <is>
          <t>Backlog</t>
        </is>
      </c>
      <c r="K54" s="34" t="inlineStr"/>
      <c r="L54" s="34" t="inlineStr"/>
      <c r="M54" s="34" t="inlineStr"/>
      <c r="N54" s="23" t="inlineStr">
        <is>
          <t>Yes</t>
        </is>
      </c>
      <c r="O54" s="22" t="inlineStr"/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54" t="inlineStr">
        <is>
          <t>[S1-01] Externalize the follow-up scheduler
(Scale/Ops)</t>
        </is>
      </c>
      <c r="C5" s="55" t="inlineStr">
        <is>
          <t>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54" t="inlineStr">
        <is>
          <t>[S1-02] Index phone, drop Python-side filter
(Scale/Ops)</t>
        </is>
      </c>
      <c r="C6" s="55" t="inlineStr">
        <is>
          <t>[S2-02] Complete TENANT_COLLECTIONS wipe
(Tenancy/Data)</t>
        </is>
      </c>
      <c r="D6" s="55" t="inlineStr">
        <is>
          <t>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54" t="inlineStr">
        <is>
          <t>[S1-03] Move all uploads to obj_store
(Scale/Ops)</t>
        </is>
      </c>
      <c r="C7" s="54" t="inlineStr">
        <is>
          <t>[S2-03] Tenant-scope OTP + WhatsApp phone routing
(Tenancy/Data)</t>
        </is>
      </c>
      <c r="D7" s="54" t="inlineStr">
        <is>
          <t>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54" t="inlineStr">
        <is>
          <t>[S1-04] Commit real deployment config
(Scale/Ops)</t>
        </is>
      </c>
      <c r="C8" s="55" t="inlineStr">
        <is>
          <t>[S2-04] Fix cross-tenant WhatsApp log leak
(Tenancy/Data)</t>
        </is>
      </c>
      <c r="D8" s="55" t="inlineStr">
        <is>
          <t>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55" t="inlineStr">
        <is>
          <t>[S1-05] Timeout + concurrency-limit LLM calls
(Scale/Ops)</t>
        </is>
      </c>
      <c r="C9" s="56" t="inlineStr">
        <is>
          <t>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54" t="inlineStr">
        <is>
          <t>[S1-06] Fix hardcoded purchase_payment key
(Scale/Ops)</t>
        </is>
      </c>
      <c r="C10" s="55" t="inlineStr">
        <is>
          <t>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55" t="inlineStr">
        <is>
          <t>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55" t="inlineStr">
        <is>
          <t>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56" t="inlineStr">
        <is>
          <t>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56" t="inlineStr">
        <is>
          <t>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55" t="inlineStr">
        <is>
          <t>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56" t="inlineStr">
        <is>
          <t>[S2-12] Fix 'active workflows' hardcoded terminal stages
(Tenancy/Data)</t>
        </is>
      </c>
    </row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62" t="inlineStr">
        <is>
          <t>Area</t>
        </is>
      </c>
      <c r="B4" s="62" t="inlineStr">
        <is>
          <t>Checklist item</t>
        </is>
      </c>
      <c r="C4" s="62" t="inlineStr">
        <is>
          <t>Verified in</t>
        </is>
      </c>
      <c r="D4" s="62" t="inlineStr">
        <is>
          <t>Done?</t>
        </is>
      </c>
    </row>
    <row r="5" ht="28" customHeight="1">
      <c r="A5" s="63" t="inlineStr">
        <is>
          <t>Security</t>
        </is>
      </c>
      <c r="B5" s="22" t="inlineStr">
        <is>
          <t>All Sprint 0 P0 items closed and verified (not just coded)</t>
        </is>
      </c>
      <c r="C5" s="64" t="inlineStr">
        <is>
          <t>Sprint 0</t>
        </is>
      </c>
      <c r="D5" s="65" t="inlineStr">
        <is>
          <t>FALSE</t>
        </is>
      </c>
    </row>
    <row r="6" ht="28" customHeight="1">
      <c r="A6" s="63" t="inlineStr">
        <is>
          <t>Security</t>
        </is>
      </c>
      <c r="B6" s="22" t="inlineStr">
        <is>
          <t>Secrets rotated out of .env into a real secrets manager</t>
        </is>
      </c>
      <c r="C6" s="66" t="inlineStr">
        <is>
          <t>Sprint 5</t>
        </is>
      </c>
      <c r="D6" s="65" t="inlineStr">
        <is>
          <t>FALSE</t>
        </is>
      </c>
    </row>
    <row r="7" ht="28" customHeight="1">
      <c r="A7" s="63" t="inlineStr">
        <is>
          <t>Scale</t>
        </is>
      </c>
      <c r="B7" s="22" t="inlineStr">
        <is>
          <t>Follow-up scheduler runs as a single external job, not in-process</t>
        </is>
      </c>
      <c r="C7" s="67" t="inlineStr">
        <is>
          <t>Sprint 1</t>
        </is>
      </c>
      <c r="D7" s="65" t="inlineStr">
        <is>
          <t>FALSE</t>
        </is>
      </c>
    </row>
    <row r="8" ht="28" customHeight="1">
      <c r="A8" s="63" t="inlineStr">
        <is>
          <t>Scale</t>
        </is>
      </c>
      <c r="B8" s="22" t="inlineStr">
        <is>
          <t>All file uploads route through obj_store; local-disk path removed</t>
        </is>
      </c>
      <c r="C8" s="67" t="inlineStr">
        <is>
          <t>Sprint 1</t>
        </is>
      </c>
      <c r="D8" s="65" t="inlineStr">
        <is>
          <t>FALSE</t>
        </is>
      </c>
    </row>
    <row r="9" ht="28" customHeight="1">
      <c r="A9" s="63" t="inlineStr">
        <is>
          <t>Scale</t>
        </is>
      </c>
      <c r="B9" s="22" t="inlineStr">
        <is>
          <t>Real Dockerfile/Procfile committed with pinned worker count</t>
        </is>
      </c>
      <c r="C9" s="67" t="inlineStr">
        <is>
          <t>Sprint 1</t>
        </is>
      </c>
      <c r="D9" s="65" t="inlineStr">
        <is>
          <t>FALSE</t>
        </is>
      </c>
    </row>
    <row r="10" ht="28" customHeight="1">
      <c r="A10" s="63" t="inlineStr">
        <is>
          <t>Scale</t>
        </is>
      </c>
      <c r="B10" s="22" t="inlineStr">
        <is>
          <t>LLM calls have timeouts + a concurrency limit</t>
        </is>
      </c>
      <c r="C10" s="67" t="inlineStr">
        <is>
          <t>Sprint 1</t>
        </is>
      </c>
      <c r="D10" s="65" t="inlineStr">
        <is>
          <t>FALSE</t>
        </is>
      </c>
    </row>
    <row r="11" ht="28" customHeight="1">
      <c r="A11" s="63" t="inlineStr">
        <is>
          <t>Multi-tenant</t>
        </is>
      </c>
      <c r="B11" s="22" t="inlineStr">
        <is>
          <t>Dynamic workflow approval loop works for a non-textile tenant</t>
        </is>
      </c>
      <c r="C11" s="67" t="inlineStr">
        <is>
          <t>Sprint 1</t>
        </is>
      </c>
      <c r="D11" s="65" t="inlineStr">
        <is>
          <t>FALSE</t>
        </is>
      </c>
    </row>
    <row r="12" ht="28" customHeight="1">
      <c r="A12" s="63" t="inlineStr">
        <is>
          <t>Multi-tenant</t>
        </is>
      </c>
      <c r="B12" s="22" t="inlineStr">
        <is>
          <t>OTP login + WhatsApp routing are tenant-scoped</t>
        </is>
      </c>
      <c r="C12" s="68" t="inlineStr">
        <is>
          <t>Sprint 2</t>
        </is>
      </c>
      <c r="D12" s="65" t="inlineStr">
        <is>
          <t>FALSE</t>
        </is>
      </c>
    </row>
    <row r="13" ht="28" customHeight="1">
      <c r="A13" s="63" t="inlineStr">
        <is>
          <t>Multi-tenant</t>
        </is>
      </c>
      <c r="B13" s="22" t="inlineStr">
        <is>
          <t>Tenant deletion removes ALL tenant data incl. files</t>
        </is>
      </c>
      <c r="C13" s="68" t="inlineStr">
        <is>
          <t>Sprint 2</t>
        </is>
      </c>
      <c r="D13" s="65" t="inlineStr">
        <is>
          <t>FALSE</t>
        </is>
      </c>
    </row>
    <row r="14" ht="28" customHeight="1">
      <c r="A14" s="63" t="inlineStr">
        <is>
          <t>Billing</t>
        </is>
      </c>
      <c r="B14" s="22" t="inlineStr">
        <is>
          <t>Real payment provider integrated (Stripe/Razorpay)</t>
        </is>
      </c>
      <c r="C14" s="69" t="inlineStr">
        <is>
          <t>Sprint 3</t>
        </is>
      </c>
      <c r="D14" s="65" t="inlineStr">
        <is>
          <t>FALSE</t>
        </is>
      </c>
    </row>
    <row r="15" ht="28" customHeight="1">
      <c r="A15" s="63" t="inlineStr">
        <is>
          <t>Billing</t>
        </is>
      </c>
      <c r="B15" s="22" t="inlineStr">
        <is>
          <t>Per-tenant AI key isolation with usage quota enforcement</t>
        </is>
      </c>
      <c r="C15" s="69" t="inlineStr">
        <is>
          <t>Sprint 3</t>
        </is>
      </c>
      <c r="D15" s="65" t="inlineStr">
        <is>
          <t>FALSE</t>
        </is>
      </c>
    </row>
    <row r="16" ht="28" customHeight="1">
      <c r="A16" s="63" t="inlineStr">
        <is>
          <t>Billing</t>
        </is>
      </c>
      <c r="B16" s="22" t="inlineStr">
        <is>
          <t>Plan / entitlement fields exist on every tenant</t>
        </is>
      </c>
      <c r="C16" s="69" t="inlineStr">
        <is>
          <t>Sprint 3</t>
        </is>
      </c>
      <c r="D16" s="65" t="inlineStr">
        <is>
          <t>FALSE</t>
        </is>
      </c>
    </row>
    <row r="17" ht="28" customHeight="1">
      <c r="A17" s="63" t="inlineStr">
        <is>
          <t>Ops</t>
        </is>
      </c>
      <c r="B17" s="22" t="inlineStr">
        <is>
          <t>Staging environment mirrors production</t>
        </is>
      </c>
      <c r="C17" s="66" t="inlineStr">
        <is>
          <t>Sprint 5</t>
        </is>
      </c>
      <c r="D17" s="65" t="inlineStr">
        <is>
          <t>FALSE</t>
        </is>
      </c>
    </row>
    <row r="18" ht="28" customHeight="1">
      <c r="A18" s="63" t="inlineStr">
        <is>
          <t>Ops</t>
        </is>
      </c>
      <c r="B18" s="22" t="inlineStr">
        <is>
          <t>Load test completed at ~100-tenant equivalent traffic</t>
        </is>
      </c>
      <c r="C18" s="66" t="inlineStr">
        <is>
          <t>Sprint 5</t>
        </is>
      </c>
      <c r="D18" s="65" t="inlineStr">
        <is>
          <t>FALSE</t>
        </is>
      </c>
    </row>
    <row r="19" ht="28" customHeight="1">
      <c r="A19" s="63" t="inlineStr">
        <is>
          <t>Ops</t>
        </is>
      </c>
      <c r="B19" s="22" t="inlineStr">
        <is>
          <t>Sentry / error tracking is live in production</t>
        </is>
      </c>
      <c r="C19" s="66" t="inlineStr">
        <is>
          <t>Sprint 5</t>
        </is>
      </c>
      <c r="D19" s="65" t="inlineStr">
        <is>
          <t>FALSE</t>
        </is>
      </c>
    </row>
    <row r="20" ht="28" customHeight="1">
      <c r="A20" s="63" t="inlineStr">
        <is>
          <t>Ops</t>
        </is>
      </c>
      <c r="B20" s="22" t="inlineStr">
        <is>
          <t>Backup restore has been TESTED, not just documented</t>
        </is>
      </c>
      <c r="C20" s="66" t="inlineStr">
        <is>
          <t>Sprint 5</t>
        </is>
      </c>
      <c r="D20" s="65" t="inlineStr">
        <is>
          <t>FALSE</t>
        </is>
      </c>
    </row>
    <row r="21" ht="28" customHeight="1">
      <c r="A21" s="63" t="inlineStr">
        <is>
          <t>Ops</t>
        </is>
      </c>
      <c r="B21" s="22" t="inlineStr">
        <is>
          <t>Data migration for all schema changes dry-run on staging</t>
        </is>
      </c>
      <c r="C21" s="66" t="inlineStr">
        <is>
          <t>Sprint 5</t>
        </is>
      </c>
      <c r="D21" s="65" t="inlineStr">
        <is>
          <t>FALSE</t>
        </is>
      </c>
    </row>
    <row r="22" ht="28" customHeight="1">
      <c r="A22" s="63" t="inlineStr">
        <is>
          <t>Ops</t>
        </is>
      </c>
      <c r="B22" s="22" t="inlineStr">
        <is>
          <t>Rollback procedure written and rehearsed</t>
        </is>
      </c>
      <c r="C22" s="66" t="inlineStr">
        <is>
          <t>Sprint 5</t>
        </is>
      </c>
      <c r="D22" s="65" t="inlineStr">
        <is>
          <t>FALSE</t>
        </is>
      </c>
    </row>
    <row r="23" ht="28" customHeight="1">
      <c r="A23" s="63" t="inlineStr">
        <is>
          <t>Ops</t>
        </is>
      </c>
      <c r="B23" s="22" t="inlineStr">
        <is>
          <t>Staged rollout plan approved (5-&gt;20-&gt;50-&gt;100)</t>
        </is>
      </c>
      <c r="C23" s="66" t="inlineStr">
        <is>
          <t>Sprint 5</t>
        </is>
      </c>
      <c r="D23" s="65" t="inlineStr">
        <is>
          <t>FALSE</t>
        </is>
      </c>
    </row>
    <row r="24" ht="28" customHeight="1">
      <c r="A24" s="63" t="inlineStr">
        <is>
          <t>Sign-off</t>
        </is>
      </c>
      <c r="B24" s="22" t="inlineStr">
        <is>
          <t>Final go/no-go review held with the full team</t>
        </is>
      </c>
      <c r="C24" s="66" t="inlineStr">
        <is>
          <t>Sprint 5</t>
        </is>
      </c>
      <c r="D24" s="65" t="inlineStr">
        <is>
          <t>FALSE</t>
        </is>
      </c>
    </row>
    <row r="26">
      <c r="A26" s="4" t="inlineStr">
        <is>
          <t>VERDICT</t>
        </is>
      </c>
      <c r="B26" s="19">
        <f>IF(COUNTIF(D5:D24,"TRUE")=COUNTA(D5:D24),"GO — cleared to sell as SaaS at scale","NOT YET — "&amp;(COUNTA(D5:D24)-COUNTIF(D5:D24,"TRUE"))&amp;" item(s) still open")</f>
        <v/>
      </c>
    </row>
  </sheetData>
  <mergeCells count="3">
    <mergeCell ref="B26:D26"/>
    <mergeCell ref="A1:D1"/>
    <mergeCell ref="A2:D2"/>
  </mergeCells>
  <conditionalFormatting sqref="D5:D24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6">
    <cfRule type="expression" priority="3" dxfId="0">
      <formula>COUNTIF($D$5:$D$24,"TRUE")=COUNTA($D$5:$D$24)</formula>
    </cfRule>
    <cfRule type="expression" priority="4" dxfId="1">
      <formula>COUNTIF($D$5:$D$24,"TRUE")&lt;COUNTA($D$5:$D$24)</formula>
    </cfRule>
  </conditionalFormatting>
  <dataValidations count="1">
    <dataValidation sqref="D5:D24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2026-08-04T08:32:34Z</dcterms:created>
  <dcterms:modified xsi:type="dcterms:W3CDTF">2026-08-04T08:32:34Z</dcterms:modified>
</cp:coreProperties>
</file>